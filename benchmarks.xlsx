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7AC42350-65BE-4F42-A032-770924E9118F}" xr6:coauthVersionLast="47" xr6:coauthVersionMax="47" xr10:uidLastSave="{00000000-0000-0000-0000-000000000000}"/>
  <bookViews>
    <workbookView xWindow="-113" yWindow="-113" windowWidth="48309" windowHeight="26546" xr2:uid="{00000000-000D-0000-FFFF-FFFF00000000}"/>
  </bookViews>
  <sheets>
    <sheet name="VRPTW Benchmark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65" i="1" l="1"/>
  <c r="F66" i="1"/>
  <c r="F68" i="1"/>
  <c r="H68" i="1" s="1"/>
  <c r="F69" i="1"/>
  <c r="H69" i="1" s="1"/>
  <c r="F70" i="1"/>
  <c r="H70" i="1" s="1"/>
  <c r="F67" i="1"/>
  <c r="H67" i="1" s="1"/>
  <c r="H66" i="1"/>
  <c r="H65" i="1"/>
  <c r="E66" i="1"/>
  <c r="E67" i="1"/>
  <c r="E68" i="1"/>
  <c r="E69" i="1"/>
  <c r="E70" i="1"/>
  <c r="E65" i="1"/>
</calcChain>
</file>

<file path=xl/sharedStrings.xml><?xml version="1.0" encoding="utf-8"?>
<sst xmlns="http://schemas.openxmlformats.org/spreadsheetml/2006/main" count="81" uniqueCount="80">
  <si>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</si>
  <si>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</si>
  <si>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</si>
  <si>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</si>
  <si>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</si>
  <si>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</si>
  <si>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</si>
  <si>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</si>
  <si>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</si>
  <si>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</si>
  <si>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</si>
  <si>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σ₁  =   33                      ,</t>
  </si>
  <si>
    <t>        σ₂  =   9                       ,</t>
  </si>
  <si>
    <t>        σ₃  =   13                      ,</t>
  </si>
  <si>
    <t>        ω   =   0.05                    ,</t>
  </si>
  <si>
    <t>        τ   =   0.5                     ,</t>
  </si>
  <si>
    <t>        𝜃   =   0.99975                 ,</t>
  </si>
  <si>
    <t>        C̲   =   30                      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</si>
  <si>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</si>
  <si>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</si>
  <si>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</si>
  <si>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</si>
  <si>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</si>
  <si>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</si>
  <si>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</si>
  <si>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</si>
  <si>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</si>
  <si>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</si>
  <si>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</si>
  <si>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</si>
  <si>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</si>
  <si>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</si>
  <si>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</si>
  <si>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</si>
  <si>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</si>
  <si>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</si>
  <si>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</si>
  <si>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</si>
  <si>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</si>
  <si>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</si>
  <si>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</si>
  <si>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</si>
  <si>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</si>
  <si>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</si>
  <si>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</si>
  <si>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:cw_init</t>
  </si>
  <si>
    <t>rng</t>
  </si>
  <si>
    <t>MersenneTwister(1234)</t>
  </si>
  <si>
    <t>r101</t>
  </si>
  <si>
    <t>r201</t>
  </si>
  <si>
    <t>c101</t>
  </si>
  <si>
    <t>c201</t>
  </si>
  <si>
    <t>rc101</t>
  </si>
  <si>
    <t>rc201</t>
  </si>
  <si>
    <t>    );</t>
  </si>
  <si>
    <t>χ = ALNSParameters(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</si>
  <si>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</si>
  <si>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</si>
  <si>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</si>
  <si>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</si>
  <si>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</si>
  <si>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</si>
  <si>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</si>
  <si>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</si>
  <si>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</si>
  <si>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</si>
  <si>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</si>
  <si>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</si>
  <si>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</si>
  <si>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:best!          ,</t>
  </si>
  <si>
    <t>                    :greedy!        ,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</si>
  <si>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</si>
  <si>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</si>
  <si>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</si>
  <si>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</si>
  <si>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</si>
  <si>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</si>
  <si>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x = length(N)</t>
  </si>
  <si>
    <t>n = ceil(x, digits=-(length(digits(x))-1))</t>
  </si>
  <si>
    <t>Vehicle Routing Problem with Time-Windows (VRPTW) Benchmarking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</si>
</sst>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0"/>
  <sheetViews>
    <sheetView tabSelected="1" zoomScaleNormal="100" workbookViewId="0">
      <selection activeCell="A2" sqref="A2"/>
    </sheetView>
  </sheetViews>
  <sheetFormatPr defaultColWidth="9.109375" defaultRowHeight="13.15" x14ac:dyDescent="0.25"/>
  <cols>
    <col min="1" max="1" width="11" style="1" customWidth="1"/>
    <col min="2" max="2" width="4" style="1" bestFit="1" customWidth="1"/>
    <col min="3" max="3" width="9.88671875" style="1" bestFit="1" customWidth="1"/>
    <col min="4" max="4" width="9.33203125" style="1" bestFit="1" customWidth="1"/>
    <col min="5" max="5" width="8.33203125" style="1" bestFit="1" customWidth="1"/>
    <col min="6" max="6" width="12.109375" style="1" bestFit="1" customWidth="1"/>
    <col min="7" max="7" width="8.6640625" style="1" bestFit="1" customWidth="1"/>
    <col min="8" max="8" width="10.33203125" style="1" bestFit="1" customWidth="1"/>
    <col min="9" max="16384" width="9.109375" style="1"/>
  </cols>
  <sheetData>
    <row r="1" spans="1:6" ht="15.05" x14ac:dyDescent="0.3">
      <c r="A1" s="14" t="s">
        <v>79</v>
      </c>
      <c r="B1" s="15"/>
      <c r="C1" s="16"/>
      <c r="D1" s="16"/>
      <c r="E1" s="16"/>
      <c r="F1" s="16"/>
    </row>
    <row r="2" spans="1:6" ht="15.05" x14ac:dyDescent="0.3">
      <c r="A2" s="19"/>
      <c r="B2" s="20"/>
      <c r="C2" s="21"/>
      <c r="D2" s="21"/>
      <c r="E2" s="21"/>
      <c r="F2" s="2"/>
    </row>
    <row r="3" spans="1:6" x14ac:dyDescent="0.25">
      <c r="A3" s="22" t="s">
        <v>27</v>
      </c>
    </row>
    <row r="4" spans="1:6" x14ac:dyDescent="0.25">
      <c r="A4" s="1" t="s">
        <v>28</v>
      </c>
      <c r="B4" s="13"/>
      <c r="C4" s="1" t="s">
        <v>29</v>
      </c>
      <c r="D4" s="2"/>
      <c r="E4" s="2"/>
      <c r="F4" s="2"/>
    </row>
    <row r="5" spans="1:6" x14ac:dyDescent="0.25">
      <c r="A5" s="1" t="s">
        <v>30</v>
      </c>
      <c r="B5" s="13"/>
      <c r="C5" s="1" t="s">
        <v>33</v>
      </c>
      <c r="D5" s="2"/>
      <c r="E5" s="2"/>
      <c r="F5" s="2"/>
    </row>
    <row r="6" spans="1:6" s="9" customFormat="1" ht="12.7" customHeight="1" x14ac:dyDescent="0.3">
      <c r="A6" s="9" t="s">
        <v>31</v>
      </c>
      <c r="C6" s="9" t="s">
        <v>32</v>
      </c>
    </row>
    <row r="7" spans="1:6" s="9" customFormat="1" ht="12.7" customHeight="1" x14ac:dyDescent="0.3"/>
    <row r="8" spans="1:6" s="9" customFormat="1" ht="12.7" customHeight="1" x14ac:dyDescent="0.3">
      <c r="A8" s="23" t="s">
        <v>38</v>
      </c>
    </row>
    <row r="9" spans="1:6" s="9" customFormat="1" ht="12.7" customHeight="1" x14ac:dyDescent="0.25">
      <c r="A9" s="1" t="s">
        <v>34</v>
      </c>
      <c r="B9" s="1"/>
      <c r="C9" s="1" t="s">
        <v>35</v>
      </c>
      <c r="D9" s="1"/>
    </row>
    <row r="10" spans="1:6" s="9" customFormat="1" ht="12.7" customHeight="1" x14ac:dyDescent="0.25">
      <c r="A10" s="1" t="s">
        <v>36</v>
      </c>
      <c r="B10" s="1"/>
      <c r="C10" s="1" t="s">
        <v>37</v>
      </c>
      <c r="D10" s="1"/>
    </row>
    <row r="11" spans="1:6" s="9" customFormat="1" ht="12.7" customHeight="1" x14ac:dyDescent="0.25">
      <c r="A11" s="1"/>
      <c r="B11" s="1"/>
      <c r="C11" s="1"/>
      <c r="D11" s="1"/>
    </row>
    <row r="12" spans="1:6" s="9" customFormat="1" ht="12.7" customHeight="1" x14ac:dyDescent="0.25">
      <c r="A12" s="22" t="s">
        <v>43</v>
      </c>
      <c r="B12" s="1"/>
      <c r="C12" s="1"/>
      <c r="D12" s="1"/>
    </row>
    <row r="13" spans="1:6" s="9" customFormat="1" ht="12.7" customHeight="1" x14ac:dyDescent="0.25">
      <c r="A13" s="1" t="s">
        <v>41</v>
      </c>
      <c r="B13" s="1"/>
      <c r="C13" s="1" t="s">
        <v>42</v>
      </c>
      <c r="D13" s="1"/>
    </row>
    <row r="14" spans="1:6" s="9" customFormat="1" ht="12.7" customHeight="1" x14ac:dyDescent="0.25">
      <c r="A14" s="1" t="s">
        <v>40</v>
      </c>
      <c r="B14" s="1"/>
      <c r="C14" s="1" t="s">
        <v>39</v>
      </c>
      <c r="D14" s="1"/>
    </row>
    <row r="15" spans="1:6" s="9" customFormat="1" ht="12.7" customHeight="1" x14ac:dyDescent="0.25">
      <c r="A15" s="1" t="s">
        <v>46</v>
      </c>
      <c r="B15" s="1"/>
      <c r="C15" s="12" t="s">
        <v>47</v>
      </c>
      <c r="D15" s="1"/>
    </row>
    <row r="16" spans="1:6" s="9" customFormat="1" ht="12.7" customHeight="1" x14ac:dyDescent="0.3">
      <c r="A16" s="9" t="s">
        <v>44</v>
      </c>
      <c r="C16" s="12" t="s">
        <v>45</v>
      </c>
    </row>
    <row r="17" spans="1:24" s="9" customFormat="1" ht="12.7" customHeight="1" x14ac:dyDescent="0.3">
      <c r="B17" s="8"/>
    </row>
    <row r="18" spans="1:24" s="9" customFormat="1" ht="12.7" customHeight="1" x14ac:dyDescent="0.3">
      <c r="A18" s="10" t="s">
        <v>25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" customHeight="1" x14ac:dyDescent="0.3">
      <c r="A19" s="12" t="s">
        <v>77</v>
      </c>
      <c r="B19" s="11"/>
      <c r="L19" s="12"/>
      <c r="W19" s="12"/>
      <c r="X19" s="12"/>
    </row>
    <row r="20" spans="1:24" s="9" customFormat="1" ht="12.7" customHeight="1" x14ac:dyDescent="0.3">
      <c r="A20" s="12" t="s">
        <v>78</v>
      </c>
      <c r="B20" s="11"/>
      <c r="L20" s="12"/>
      <c r="W20" s="12"/>
      <c r="X20" s="12"/>
    </row>
    <row r="21" spans="1:24" s="9" customFormat="1" ht="12.7" customHeight="1" x14ac:dyDescent="0.3">
      <c r="A21" s="12" t="s">
        <v>55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" customHeight="1" x14ac:dyDescent="0.3">
      <c r="A22" s="12" t="s">
        <v>56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" customHeight="1" x14ac:dyDescent="0.3">
      <c r="A23" s="12" t="s">
        <v>57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" customHeight="1" x14ac:dyDescent="0.3">
      <c r="A24" s="12" t="s">
        <v>58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" customHeight="1" x14ac:dyDescent="0.3">
      <c r="A25" s="12" t="s">
        <v>59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" customHeight="1" x14ac:dyDescent="0.3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" customHeight="1" x14ac:dyDescent="0.3">
      <c r="A27" s="12" t="s">
        <v>60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" customHeight="1" x14ac:dyDescent="0.3">
      <c r="A28" s="12" t="s">
        <v>61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" customHeight="1" x14ac:dyDescent="0.3">
      <c r="A29" s="12" t="s">
        <v>62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" customHeight="1" x14ac:dyDescent="0.3">
      <c r="A30" s="12" t="s">
        <v>63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" customHeight="1" x14ac:dyDescent="0.3">
      <c r="A31" s="12" t="s">
        <v>64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" customHeight="1" x14ac:dyDescent="0.3">
      <c r="A32" s="12" t="s">
        <v>65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" customHeight="1" x14ac:dyDescent="0.3">
      <c r="A33" s="12" t="s">
        <v>66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" customHeight="1" x14ac:dyDescent="0.3">
      <c r="A34" s="12" t="s">
        <v>67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" customHeight="1" x14ac:dyDescent="0.3">
      <c r="A35" s="12" t="s">
        <v>68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" customHeight="1" x14ac:dyDescent="0.3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" customHeight="1" x14ac:dyDescent="0.3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" customHeight="1" x14ac:dyDescent="0.3">
      <c r="A38" s="12" t="s">
        <v>69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" customHeight="1" x14ac:dyDescent="0.3">
      <c r="A39" s="12" t="s">
        <v>70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" customHeight="1" x14ac:dyDescent="0.3">
      <c r="A40" s="12" t="s">
        <v>71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" customHeight="1" x14ac:dyDescent="0.3">
      <c r="A41" s="12" t="s">
        <v>72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ht="15.05" x14ac:dyDescent="0.25">
      <c r="A42" s="12" t="s">
        <v>7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ht="15.05" x14ac:dyDescent="0.25">
      <c r="A43" s="12" t="s">
        <v>21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5.05" x14ac:dyDescent="0.25">
      <c r="A44" s="12" t="s">
        <v>22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5.05" x14ac:dyDescent="0.25">
      <c r="A45" s="12" t="s">
        <v>73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5.05" x14ac:dyDescent="0.25">
      <c r="A46" s="12" t="s">
        <v>74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5.05" x14ac:dyDescent="0.25">
      <c r="A47" s="12" t="s">
        <v>75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5.05" x14ac:dyDescent="0.25">
      <c r="A48" s="12" t="s">
        <v>10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5.05" x14ac:dyDescent="0.25">
      <c r="A49" s="12" t="s">
        <v>7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5.05" x14ac:dyDescent="0.25">
      <c r="A50" s="12" t="s">
        <v>11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5.05" x14ac:dyDescent="0.25">
      <c r="A51" s="12" t="s">
        <v>12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5.05" x14ac:dyDescent="0.25">
      <c r="A52" s="12" t="s">
        <v>13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5.05" x14ac:dyDescent="0.25">
      <c r="A53" s="12" t="s">
        <v>14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5.05" x14ac:dyDescent="0.25">
      <c r="A54" s="12" t="s">
        <v>15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5.05" x14ac:dyDescent="0.25">
      <c r="A55" s="12" t="s">
        <v>16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5.05" x14ac:dyDescent="0.25">
      <c r="A56" s="12" t="s">
        <v>17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5.05" x14ac:dyDescent="0.25">
      <c r="A57" s="12" t="s">
        <v>18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5.05" x14ac:dyDescent="0.25">
      <c r="A58" s="12" t="s">
        <v>19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5.05" x14ac:dyDescent="0.25">
      <c r="A59" s="12" t="s">
        <v>20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5.05" x14ac:dyDescent="0.25">
      <c r="A60" s="12" t="s">
        <v>76</v>
      </c>
      <c r="B60" s="12"/>
      <c r="C60" s="12"/>
      <c r="D60" s="12"/>
      <c r="E60" s="12"/>
      <c r="F60" s="12"/>
      <c r="G60" s="12"/>
      <c r="H60" s="12"/>
      <c r="U60" s="12"/>
      <c r="V60" s="12"/>
    </row>
    <row r="61" spans="1:24" ht="15.05" x14ac:dyDescent="0.25">
      <c r="A61" s="12" t="s">
        <v>54</v>
      </c>
      <c r="B61" s="12"/>
      <c r="C61" s="12"/>
      <c r="D61" s="12"/>
      <c r="E61" s="12"/>
      <c r="F61" s="12"/>
      <c r="G61" s="12"/>
      <c r="H61" s="12"/>
      <c r="U61" s="12"/>
      <c r="V61" s="12"/>
    </row>
    <row r="63" spans="1:24" x14ac:dyDescent="0.25">
      <c r="A63" s="17" t="s">
        <v>26</v>
      </c>
      <c r="B63" s="7"/>
    </row>
    <row r="64" spans="1:24" x14ac:dyDescent="0.25">
      <c r="A64" s="18" t="s">
        <v>2</v>
      </c>
      <c r="B64" s="18" t="s">
        <v>23</v>
      </c>
      <c r="C64" s="18" t="s">
        <v>0</v>
      </c>
      <c r="D64" s="18" t="s">
        <v>1</v>
      </c>
      <c r="E64" s="18" t="s">
        <v>3</v>
      </c>
      <c r="F64" s="18" t="s">
        <v>4</v>
      </c>
      <c r="G64" s="18" t="s">
        <v>24</v>
      </c>
      <c r="H64" s="18" t="s">
        <v>5</v>
      </c>
    </row>
    <row r="65" spans="1:8" x14ac:dyDescent="0.25">
      <c r="A65" s="2" t="s">
        <v>48</v>
      </c>
      <c r="B65" s="2">
        <v>100</v>
      </c>
      <c r="C65" s="6">
        <v>1645.79</v>
      </c>
      <c r="D65" s="6">
        <v>1647.99912450019</v>
      </c>
      <c r="E65" s="3">
        <f>D65/C65-1</f>
        <v>1.34228820213389E-3</v>
      </c>
      <c r="F65" s="5">
        <f>4.71/1000</f>
        <v>4.7099999999999998E-3</v>
      </c>
      <c r="G65" s="1">
        <v>2000</v>
      </c>
      <c r="H65" s="6">
        <f>F65 * G65</f>
        <v>9.42</v>
      </c>
    </row>
    <row r="66" spans="1:8" x14ac:dyDescent="0.25">
      <c r="A66" s="1" t="s">
        <v>49</v>
      </c>
      <c r="B66" s="2">
        <v>100</v>
      </c>
      <c r="C66" s="24">
        <v>1252.3699999999999</v>
      </c>
      <c r="D66" s="24">
        <v>1201.06719688372</v>
      </c>
      <c r="E66" s="3">
        <f t="shared" ref="E66:E70" si="0">D66/C66-1</f>
        <v>-4.0964573661361969E-2</v>
      </c>
      <c r="F66" s="4">
        <f>13.07/1000</f>
        <v>1.307E-2</v>
      </c>
      <c r="G66" s="1">
        <v>2000</v>
      </c>
      <c r="H66" s="6">
        <f t="shared" ref="H66:H70" si="1">F66 * G66</f>
        <v>26.14</v>
      </c>
    </row>
    <row r="67" spans="1:8" x14ac:dyDescent="0.25">
      <c r="A67" s="2" t="s">
        <v>50</v>
      </c>
      <c r="B67" s="2">
        <v>100</v>
      </c>
      <c r="C67" s="6">
        <v>828.94</v>
      </c>
      <c r="D67" s="6">
        <v>828.93686694277699</v>
      </c>
      <c r="E67" s="3">
        <f t="shared" si="0"/>
        <v>-3.7795946908891764E-6</v>
      </c>
      <c r="F67" s="4">
        <f>6.13/1000</f>
        <v>6.13E-3</v>
      </c>
      <c r="G67" s="1">
        <v>2000</v>
      </c>
      <c r="H67" s="6">
        <f t="shared" si="1"/>
        <v>12.26</v>
      </c>
    </row>
    <row r="68" spans="1:8" x14ac:dyDescent="0.25">
      <c r="A68" s="2" t="s">
        <v>51</v>
      </c>
      <c r="B68" s="2">
        <v>100</v>
      </c>
      <c r="C68" s="6">
        <v>591.55999999999995</v>
      </c>
      <c r="D68" s="6">
        <v>591.55655666806399</v>
      </c>
      <c r="E68" s="3">
        <f t="shared" si="0"/>
        <v>-5.8207653255148983E-6</v>
      </c>
      <c r="F68" s="4">
        <f>24.34/1000</f>
        <v>2.4340000000000001E-2</v>
      </c>
      <c r="G68" s="1">
        <v>2000</v>
      </c>
      <c r="H68" s="6">
        <f t="shared" si="1"/>
        <v>48.68</v>
      </c>
    </row>
    <row r="69" spans="1:8" x14ac:dyDescent="0.25">
      <c r="A69" s="2" t="s">
        <v>52</v>
      </c>
      <c r="B69" s="2">
        <v>100</v>
      </c>
      <c r="C69" s="6">
        <v>1696.94</v>
      </c>
      <c r="D69" s="6">
        <v>1678.1751810066401</v>
      </c>
      <c r="E69" s="3">
        <f t="shared" si="0"/>
        <v>-1.1058033279526702E-2</v>
      </c>
      <c r="F69" s="4">
        <f>4.74/1000</f>
        <v>4.7400000000000003E-3</v>
      </c>
      <c r="G69" s="1">
        <v>2000</v>
      </c>
      <c r="H69" s="6">
        <f t="shared" si="1"/>
        <v>9.48</v>
      </c>
    </row>
    <row r="70" spans="1:8" x14ac:dyDescent="0.25">
      <c r="A70" s="1" t="s">
        <v>53</v>
      </c>
      <c r="B70" s="2">
        <v>100</v>
      </c>
      <c r="C70" s="24">
        <v>1406.91</v>
      </c>
      <c r="D70" s="24">
        <v>1409.21629394568</v>
      </c>
      <c r="E70" s="3">
        <f t="shared" si="0"/>
        <v>1.6392618900142875E-3</v>
      </c>
      <c r="F70" s="4">
        <f>14.85/1000</f>
        <v>1.485E-2</v>
      </c>
      <c r="G70" s="1">
        <v>2000</v>
      </c>
      <c r="H70" s="6">
        <f t="shared" si="1"/>
        <v>29.7</v>
      </c>
    </row>
    <row r="71" spans="1:8" x14ac:dyDescent="0.25">
      <c r="B71" s="7"/>
    </row>
    <row r="72" spans="1:8" x14ac:dyDescent="0.25">
      <c r="B72" s="7"/>
    </row>
    <row r="73" spans="1:8" x14ac:dyDescent="0.25">
      <c r="B73" s="7"/>
    </row>
    <row r="74" spans="1:8" x14ac:dyDescent="0.25">
      <c r="B74" s="7"/>
    </row>
    <row r="75" spans="1:8" x14ac:dyDescent="0.25">
      <c r="B75" s="7"/>
    </row>
    <row r="76" spans="1:8" x14ac:dyDescent="0.25">
      <c r="B76" s="7"/>
    </row>
    <row r="77" spans="1:8" x14ac:dyDescent="0.25">
      <c r="B77" s="7"/>
    </row>
    <row r="78" spans="1:8" x14ac:dyDescent="0.25">
      <c r="B78" s="7"/>
    </row>
    <row r="79" spans="1:8" x14ac:dyDescent="0.25">
      <c r="B79" s="7"/>
    </row>
    <row r="80" spans="1:8" x14ac:dyDescent="0.25">
      <c r="B80" s="7"/>
    </row>
    <row r="81" spans="2:2" x14ac:dyDescent="0.25">
      <c r="B81" s="7"/>
    </row>
    <row r="82" spans="2:2" x14ac:dyDescent="0.25">
      <c r="B82" s="7"/>
    </row>
    <row r="83" spans="2:2" x14ac:dyDescent="0.25">
      <c r="B83" s="7"/>
    </row>
    <row r="84" spans="2:2" x14ac:dyDescent="0.25">
      <c r="B84" s="7"/>
    </row>
    <row r="85" spans="2:2" x14ac:dyDescent="0.25">
      <c r="B85" s="7"/>
    </row>
    <row r="86" spans="2:2" x14ac:dyDescent="0.25">
      <c r="B86" s="7"/>
    </row>
    <row r="87" spans="2:2" x14ac:dyDescent="0.25">
      <c r="B87" s="7"/>
    </row>
    <row r="88" spans="2:2" x14ac:dyDescent="0.25">
      <c r="B88" s="7"/>
    </row>
    <row r="89" spans="2:2" x14ac:dyDescent="0.25">
      <c r="B89" s="7"/>
    </row>
    <row r="90" spans="2:2" x14ac:dyDescent="0.25">
      <c r="B90" s="7"/>
    </row>
    <row r="91" spans="2:2" x14ac:dyDescent="0.25">
      <c r="B91" s="7"/>
    </row>
    <row r="92" spans="2:2" x14ac:dyDescent="0.25">
      <c r="B92" s="7"/>
    </row>
    <row r="93" spans="2:2" x14ac:dyDescent="0.25">
      <c r="B93" s="7"/>
    </row>
    <row r="94" spans="2:2" x14ac:dyDescent="0.25">
      <c r="B94" s="7"/>
    </row>
    <row r="95" spans="2:2" x14ac:dyDescent="0.25">
      <c r="B95" s="7"/>
    </row>
    <row r="96" spans="2:2" x14ac:dyDescent="0.25">
      <c r="B96" s="7"/>
    </row>
    <row r="97" spans="2:2" x14ac:dyDescent="0.25">
      <c r="B97" s="7"/>
    </row>
    <row r="98" spans="2:2" x14ac:dyDescent="0.25">
      <c r="B98" s="7"/>
    </row>
    <row r="99" spans="2:2" x14ac:dyDescent="0.25">
      <c r="B99" s="7"/>
    </row>
    <row r="100" spans="2:2" x14ac:dyDescent="0.25">
      <c r="B100" s="7"/>
    </row>
    <row r="101" spans="2:2" x14ac:dyDescent="0.25">
      <c r="B101" s="7"/>
    </row>
    <row r="102" spans="2:2" x14ac:dyDescent="0.25">
      <c r="B102" s="7"/>
    </row>
    <row r="103" spans="2:2" x14ac:dyDescent="0.25">
      <c r="B103" s="7"/>
    </row>
    <row r="104" spans="2:2" x14ac:dyDescent="0.25">
      <c r="B104" s="7"/>
    </row>
    <row r="105" spans="2:2" x14ac:dyDescent="0.25">
      <c r="B105" s="7"/>
    </row>
    <row r="106" spans="2:2" x14ac:dyDescent="0.25">
      <c r="B106" s="7"/>
    </row>
    <row r="107" spans="2:2" x14ac:dyDescent="0.25">
      <c r="B107" s="7"/>
    </row>
    <row r="108" spans="2:2" x14ac:dyDescent="0.25">
      <c r="B108" s="7"/>
    </row>
    <row r="109" spans="2:2" x14ac:dyDescent="0.25">
      <c r="B109" s="7"/>
    </row>
    <row r="110" spans="2:2" x14ac:dyDescent="0.25">
      <c r="B110" s="7"/>
    </row>
    <row r="111" spans="2:2" x14ac:dyDescent="0.25">
      <c r="B111" s="7"/>
    </row>
    <row r="112" spans="2:2" x14ac:dyDescent="0.25">
      <c r="B112" s="7"/>
    </row>
    <row r="113" spans="2:2" x14ac:dyDescent="0.25">
      <c r="B113" s="7"/>
    </row>
    <row r="114" spans="2:2" x14ac:dyDescent="0.25">
      <c r="B114" s="7"/>
    </row>
    <row r="115" spans="2:2" x14ac:dyDescent="0.25">
      <c r="B115" s="7"/>
    </row>
    <row r="116" spans="2:2" x14ac:dyDescent="0.25">
      <c r="B116" s="7"/>
    </row>
    <row r="117" spans="2:2" x14ac:dyDescent="0.25">
      <c r="B117" s="7"/>
    </row>
    <row r="118" spans="2:2" x14ac:dyDescent="0.25">
      <c r="B118" s="7"/>
    </row>
    <row r="119" spans="2:2" x14ac:dyDescent="0.25">
      <c r="B119" s="7"/>
    </row>
    <row r="120" spans="2:2" x14ac:dyDescent="0.25">
      <c r="B120" s="7"/>
    </row>
    <row r="121" spans="2:2" x14ac:dyDescent="0.25">
      <c r="B121" s="7"/>
    </row>
    <row r="122" spans="2:2" x14ac:dyDescent="0.25">
      <c r="B122" s="7"/>
    </row>
    <row r="123" spans="2:2" x14ac:dyDescent="0.25">
      <c r="B123" s="7"/>
    </row>
    <row r="124" spans="2:2" x14ac:dyDescent="0.25">
      <c r="B124" s="7"/>
    </row>
    <row r="125" spans="2:2" x14ac:dyDescent="0.25">
      <c r="B125" s="7"/>
    </row>
    <row r="126" spans="2:2" x14ac:dyDescent="0.25">
      <c r="B126" s="7"/>
    </row>
    <row r="127" spans="2:2" x14ac:dyDescent="0.25">
      <c r="B127" s="7"/>
    </row>
    <row r="128" spans="2:2" x14ac:dyDescent="0.25">
      <c r="B128" s="7"/>
    </row>
    <row r="129" spans="2:2" x14ac:dyDescent="0.25">
      <c r="B129" s="7"/>
    </row>
    <row r="130" spans="2:2" x14ac:dyDescent="0.25">
      <c r="B130" s="7"/>
    </row>
    <row r="131" spans="2:2" x14ac:dyDescent="0.25">
      <c r="B131" s="7"/>
    </row>
    <row r="132" spans="2:2" x14ac:dyDescent="0.25">
      <c r="B132" s="7"/>
    </row>
    <row r="133" spans="2:2" x14ac:dyDescent="0.25">
      <c r="B133" s="7"/>
    </row>
    <row r="134" spans="2:2" x14ac:dyDescent="0.25">
      <c r="B134" s="7"/>
    </row>
    <row r="135" spans="2:2" x14ac:dyDescent="0.25">
      <c r="B135" s="7"/>
    </row>
    <row r="136" spans="2:2" x14ac:dyDescent="0.25">
      <c r="B136" s="7"/>
    </row>
    <row r="137" spans="2:2" x14ac:dyDescent="0.25">
      <c r="B137" s="7"/>
    </row>
    <row r="138" spans="2:2" x14ac:dyDescent="0.25">
      <c r="B138" s="7"/>
    </row>
    <row r="139" spans="2:2" x14ac:dyDescent="0.25">
      <c r="B139" s="7"/>
    </row>
    <row r="140" spans="2:2" x14ac:dyDescent="0.25">
      <c r="B140" s="7"/>
    </row>
    <row r="141" spans="2:2" x14ac:dyDescent="0.25">
      <c r="B141" s="7"/>
    </row>
    <row r="142" spans="2:2" x14ac:dyDescent="0.25">
      <c r="B142" s="7"/>
    </row>
    <row r="143" spans="2:2" x14ac:dyDescent="0.25">
      <c r="B143" s="7"/>
    </row>
    <row r="144" spans="2:2" x14ac:dyDescent="0.25">
      <c r="B144" s="7"/>
    </row>
    <row r="145" spans="2:2" x14ac:dyDescent="0.25">
      <c r="B145" s="7"/>
    </row>
    <row r="146" spans="2:2" x14ac:dyDescent="0.25">
      <c r="B146" s="7"/>
    </row>
    <row r="147" spans="2:2" x14ac:dyDescent="0.25">
      <c r="B147" s="7"/>
    </row>
    <row r="148" spans="2:2" x14ac:dyDescent="0.25">
      <c r="B148" s="7"/>
    </row>
    <row r="149" spans="2:2" x14ac:dyDescent="0.25">
      <c r="B149" s="7"/>
    </row>
    <row r="150" spans="2:2" x14ac:dyDescent="0.25">
      <c r="B150" s="7"/>
    </row>
    <row r="151" spans="2:2" x14ac:dyDescent="0.25">
      <c r="B151" s="7"/>
    </row>
    <row r="152" spans="2:2" x14ac:dyDescent="0.25">
      <c r="B152" s="7"/>
    </row>
    <row r="153" spans="2:2" x14ac:dyDescent="0.25">
      <c r="B153" s="7"/>
    </row>
    <row r="154" spans="2:2" x14ac:dyDescent="0.25">
      <c r="B154" s="7"/>
    </row>
    <row r="155" spans="2:2" x14ac:dyDescent="0.25">
      <c r="B155" s="7"/>
    </row>
    <row r="156" spans="2:2" x14ac:dyDescent="0.25">
      <c r="B156" s="7"/>
    </row>
    <row r="157" spans="2:2" x14ac:dyDescent="0.25">
      <c r="B157" s="7"/>
    </row>
    <row r="158" spans="2:2" x14ac:dyDescent="0.25">
      <c r="B158" s="7"/>
    </row>
    <row r="159" spans="2:2" x14ac:dyDescent="0.25">
      <c r="B159" s="7"/>
    </row>
    <row r="160" spans="2:2" x14ac:dyDescent="0.25">
      <c r="B160" s="7"/>
    </row>
    <row r="161" spans="2:2" x14ac:dyDescent="0.25">
      <c r="B161" s="7"/>
    </row>
    <row r="162" spans="2:2" x14ac:dyDescent="0.25">
      <c r="B162" s="7"/>
    </row>
    <row r="163" spans="2:2" x14ac:dyDescent="0.25">
      <c r="B163" s="7"/>
    </row>
    <row r="164" spans="2:2" x14ac:dyDescent="0.25">
      <c r="B164" s="7"/>
    </row>
    <row r="165" spans="2:2" x14ac:dyDescent="0.25">
      <c r="B165" s="7"/>
    </row>
    <row r="166" spans="2:2" x14ac:dyDescent="0.25">
      <c r="B166" s="7"/>
    </row>
    <row r="167" spans="2:2" x14ac:dyDescent="0.25">
      <c r="B167" s="7"/>
    </row>
    <row r="168" spans="2:2" x14ac:dyDescent="0.25">
      <c r="B168" s="7"/>
    </row>
    <row r="169" spans="2:2" x14ac:dyDescent="0.25">
      <c r="B169" s="7"/>
    </row>
    <row r="170" spans="2:2" x14ac:dyDescent="0.25">
      <c r="B170" s="7"/>
    </row>
    <row r="171" spans="2:2" x14ac:dyDescent="0.25">
      <c r="B171" s="7"/>
    </row>
    <row r="172" spans="2:2" x14ac:dyDescent="0.25">
      <c r="B172" s="7"/>
    </row>
    <row r="173" spans="2:2" x14ac:dyDescent="0.25">
      <c r="B173" s="7"/>
    </row>
    <row r="174" spans="2:2" x14ac:dyDescent="0.25">
      <c r="B174" s="7"/>
    </row>
    <row r="175" spans="2:2" x14ac:dyDescent="0.25">
      <c r="B175" s="7"/>
    </row>
    <row r="176" spans="2:2" x14ac:dyDescent="0.25">
      <c r="B176" s="7"/>
    </row>
    <row r="177" spans="2:2" x14ac:dyDescent="0.25">
      <c r="B177" s="7"/>
    </row>
    <row r="178" spans="2:2" x14ac:dyDescent="0.25">
      <c r="B178" s="7"/>
    </row>
    <row r="179" spans="2:2" x14ac:dyDescent="0.25">
      <c r="B179" s="7"/>
    </row>
    <row r="180" spans="2:2" x14ac:dyDescent="0.25">
      <c r="B180" s="7"/>
    </row>
    <row r="181" spans="2:2" x14ac:dyDescent="0.25">
      <c r="B181" s="7"/>
    </row>
    <row r="182" spans="2:2" x14ac:dyDescent="0.25">
      <c r="B182" s="7"/>
    </row>
    <row r="183" spans="2:2" x14ac:dyDescent="0.25">
      <c r="B183" s="7"/>
    </row>
    <row r="184" spans="2:2" x14ac:dyDescent="0.25">
      <c r="B184" s="7"/>
    </row>
    <row r="185" spans="2:2" x14ac:dyDescent="0.25">
      <c r="B185" s="7"/>
    </row>
    <row r="186" spans="2:2" x14ac:dyDescent="0.25">
      <c r="B186" s="7"/>
    </row>
    <row r="187" spans="2:2" x14ac:dyDescent="0.25">
      <c r="B187" s="7"/>
    </row>
    <row r="188" spans="2:2" x14ac:dyDescent="0.25">
      <c r="B188" s="7"/>
    </row>
    <row r="189" spans="2:2" x14ac:dyDescent="0.25">
      <c r="B189" s="7"/>
    </row>
    <row r="190" spans="2:2" x14ac:dyDescent="0.25">
      <c r="B190" s="7"/>
    </row>
    <row r="191" spans="2:2" x14ac:dyDescent="0.25">
      <c r="B191" s="7"/>
    </row>
    <row r="192" spans="2:2" x14ac:dyDescent="0.25">
      <c r="B192" s="7"/>
    </row>
    <row r="193" spans="2:2" x14ac:dyDescent="0.25">
      <c r="B193" s="7"/>
    </row>
    <row r="194" spans="2:2" x14ac:dyDescent="0.25">
      <c r="B194" s="7"/>
    </row>
    <row r="195" spans="2:2" x14ac:dyDescent="0.25">
      <c r="B195" s="7"/>
    </row>
    <row r="196" spans="2:2" x14ac:dyDescent="0.25">
      <c r="B196" s="7"/>
    </row>
    <row r="197" spans="2:2" x14ac:dyDescent="0.25">
      <c r="B197" s="7"/>
    </row>
    <row r="198" spans="2:2" x14ac:dyDescent="0.25">
      <c r="B198" s="7"/>
    </row>
    <row r="199" spans="2:2" x14ac:dyDescent="0.25">
      <c r="B199" s="7"/>
    </row>
    <row r="200" spans="2:2" x14ac:dyDescent="0.25">
      <c r="B200" s="7"/>
    </row>
    <row r="201" spans="2:2" x14ac:dyDescent="0.25">
      <c r="B201" s="7"/>
    </row>
    <row r="202" spans="2:2" x14ac:dyDescent="0.25">
      <c r="B202" s="7"/>
    </row>
    <row r="203" spans="2:2" x14ac:dyDescent="0.25">
      <c r="B203" s="7"/>
    </row>
    <row r="204" spans="2:2" x14ac:dyDescent="0.25">
      <c r="B204" s="7"/>
    </row>
    <row r="205" spans="2:2" x14ac:dyDescent="0.25">
      <c r="B205" s="7"/>
    </row>
    <row r="206" spans="2:2" x14ac:dyDescent="0.25">
      <c r="B206" s="7"/>
    </row>
    <row r="207" spans="2:2" x14ac:dyDescent="0.25">
      <c r="B207" s="7"/>
    </row>
    <row r="208" spans="2:2" x14ac:dyDescent="0.25">
      <c r="B208" s="7"/>
    </row>
    <row r="209" spans="2:2" x14ac:dyDescent="0.25">
      <c r="B209" s="7"/>
    </row>
    <row r="210" spans="2:2" x14ac:dyDescent="0.25">
      <c r="B210" s="7"/>
    </row>
    <row r="211" spans="2:2" x14ac:dyDescent="0.25">
      <c r="B211" s="7"/>
    </row>
    <row r="212" spans="2:2" x14ac:dyDescent="0.25">
      <c r="B212" s="7"/>
    </row>
    <row r="213" spans="2:2" x14ac:dyDescent="0.25">
      <c r="B213" s="7"/>
    </row>
    <row r="214" spans="2:2" x14ac:dyDescent="0.25">
      <c r="B214" s="7"/>
    </row>
    <row r="215" spans="2:2" x14ac:dyDescent="0.25">
      <c r="B215" s="7"/>
    </row>
    <row r="216" spans="2:2" x14ac:dyDescent="0.25">
      <c r="B216" s="7"/>
    </row>
    <row r="217" spans="2:2" x14ac:dyDescent="0.25">
      <c r="B217" s="7"/>
    </row>
    <row r="218" spans="2:2" x14ac:dyDescent="0.25">
      <c r="B218" s="7"/>
    </row>
    <row r="219" spans="2:2" x14ac:dyDescent="0.25">
      <c r="B219" s="7"/>
    </row>
    <row r="220" spans="2:2" x14ac:dyDescent="0.25">
      <c r="B220" s="7"/>
    </row>
    <row r="221" spans="2:2" x14ac:dyDescent="0.25">
      <c r="B221" s="7"/>
    </row>
    <row r="222" spans="2:2" x14ac:dyDescent="0.25">
      <c r="B222" s="7"/>
    </row>
    <row r="223" spans="2:2" x14ac:dyDescent="0.25">
      <c r="B223" s="7"/>
    </row>
    <row r="224" spans="2:2" x14ac:dyDescent="0.25">
      <c r="B224" s="7"/>
    </row>
    <row r="225" spans="2:2" x14ac:dyDescent="0.25">
      <c r="B225" s="7"/>
    </row>
    <row r="226" spans="2:2" x14ac:dyDescent="0.25">
      <c r="B226" s="7"/>
    </row>
    <row r="227" spans="2:2" x14ac:dyDescent="0.25">
      <c r="B227" s="7"/>
    </row>
    <row r="228" spans="2:2" x14ac:dyDescent="0.25">
      <c r="B228" s="7"/>
    </row>
    <row r="229" spans="2:2" x14ac:dyDescent="0.25">
      <c r="B229" s="7"/>
    </row>
    <row r="230" spans="2:2" x14ac:dyDescent="0.25">
      <c r="B230" s="7"/>
    </row>
    <row r="231" spans="2:2" x14ac:dyDescent="0.25">
      <c r="B231" s="7"/>
    </row>
    <row r="232" spans="2:2" x14ac:dyDescent="0.25">
      <c r="B232" s="7"/>
    </row>
    <row r="233" spans="2:2" x14ac:dyDescent="0.25">
      <c r="B233" s="7"/>
    </row>
    <row r="234" spans="2:2" x14ac:dyDescent="0.25">
      <c r="B234" s="7"/>
    </row>
    <row r="235" spans="2:2" x14ac:dyDescent="0.25">
      <c r="B235" s="7"/>
    </row>
    <row r="236" spans="2:2" x14ac:dyDescent="0.25">
      <c r="B236" s="7"/>
    </row>
    <row r="237" spans="2:2" x14ac:dyDescent="0.25">
      <c r="B237" s="7"/>
    </row>
    <row r="238" spans="2:2" x14ac:dyDescent="0.25">
      <c r="B238" s="7"/>
    </row>
    <row r="239" spans="2:2" x14ac:dyDescent="0.25">
      <c r="B239" s="7"/>
    </row>
    <row r="240" spans="2:2" x14ac:dyDescent="0.25">
      <c r="B240" s="7"/>
    </row>
    <row r="241" spans="2:2" x14ac:dyDescent="0.25">
      <c r="B241" s="7"/>
    </row>
    <row r="242" spans="2:2" x14ac:dyDescent="0.25">
      <c r="B242" s="7"/>
    </row>
    <row r="243" spans="2:2" x14ac:dyDescent="0.25">
      <c r="B243" s="7"/>
    </row>
    <row r="244" spans="2:2" x14ac:dyDescent="0.25">
      <c r="B244" s="7"/>
    </row>
    <row r="245" spans="2:2" x14ac:dyDescent="0.25">
      <c r="B245" s="7"/>
    </row>
    <row r="246" spans="2:2" x14ac:dyDescent="0.25">
      <c r="B246" s="7"/>
    </row>
    <row r="247" spans="2:2" x14ac:dyDescent="0.25">
      <c r="B247" s="7"/>
    </row>
    <row r="248" spans="2:2" x14ac:dyDescent="0.25">
      <c r="B248" s="7"/>
    </row>
    <row r="249" spans="2:2" x14ac:dyDescent="0.25">
      <c r="B249" s="7"/>
    </row>
    <row r="250" spans="2:2" x14ac:dyDescent="0.25">
      <c r="B250" s="7"/>
    </row>
    <row r="251" spans="2:2" x14ac:dyDescent="0.25">
      <c r="B251" s="7"/>
    </row>
    <row r="252" spans="2:2" x14ac:dyDescent="0.25">
      <c r="B252" s="7"/>
    </row>
    <row r="253" spans="2:2" x14ac:dyDescent="0.25">
      <c r="B253" s="7"/>
    </row>
    <row r="254" spans="2:2" x14ac:dyDescent="0.25">
      <c r="B254" s="7"/>
    </row>
    <row r="255" spans="2:2" x14ac:dyDescent="0.25">
      <c r="B255" s="7"/>
    </row>
    <row r="256" spans="2:2" x14ac:dyDescent="0.25">
      <c r="B256" s="7"/>
    </row>
    <row r="257" spans="2:2" x14ac:dyDescent="0.25">
      <c r="B257" s="7"/>
    </row>
    <row r="258" spans="2:2" x14ac:dyDescent="0.25">
      <c r="B258" s="7"/>
    </row>
    <row r="259" spans="2:2" x14ac:dyDescent="0.25">
      <c r="B259" s="7"/>
    </row>
    <row r="260" spans="2:2" x14ac:dyDescent="0.25">
      <c r="B260" s="7"/>
    </row>
    <row r="261" spans="2:2" x14ac:dyDescent="0.25">
      <c r="B261" s="7"/>
    </row>
    <row r="262" spans="2:2" x14ac:dyDescent="0.25">
      <c r="B262" s="7"/>
    </row>
    <row r="263" spans="2:2" x14ac:dyDescent="0.25">
      <c r="B263" s="7"/>
    </row>
    <row r="264" spans="2:2" x14ac:dyDescent="0.25">
      <c r="B264" s="7"/>
    </row>
    <row r="265" spans="2:2" x14ac:dyDescent="0.25">
      <c r="B265" s="7"/>
    </row>
    <row r="266" spans="2:2" x14ac:dyDescent="0.25">
      <c r="B266" s="7"/>
    </row>
    <row r="267" spans="2:2" x14ac:dyDescent="0.25">
      <c r="B267" s="7"/>
    </row>
    <row r="268" spans="2:2" x14ac:dyDescent="0.25">
      <c r="B268" s="7"/>
    </row>
    <row r="269" spans="2:2" x14ac:dyDescent="0.25">
      <c r="B269" s="7"/>
    </row>
    <row r="270" spans="2:2" x14ac:dyDescent="0.25">
      <c r="B270" s="7"/>
    </row>
    <row r="271" spans="2:2" x14ac:dyDescent="0.25">
      <c r="B271" s="7"/>
    </row>
    <row r="272" spans="2:2" x14ac:dyDescent="0.25">
      <c r="B272" s="7"/>
    </row>
    <row r="273" spans="2:2" x14ac:dyDescent="0.25">
      <c r="B273" s="7"/>
    </row>
    <row r="274" spans="2:2" x14ac:dyDescent="0.25">
      <c r="B274" s="7"/>
    </row>
    <row r="275" spans="2:2" x14ac:dyDescent="0.25">
      <c r="B275" s="7"/>
    </row>
    <row r="276" spans="2:2" x14ac:dyDescent="0.25">
      <c r="B276" s="7"/>
    </row>
    <row r="277" spans="2:2" x14ac:dyDescent="0.25">
      <c r="B277" s="7"/>
    </row>
    <row r="278" spans="2:2" x14ac:dyDescent="0.25">
      <c r="B278" s="7"/>
    </row>
    <row r="279" spans="2:2" x14ac:dyDescent="0.25">
      <c r="B279" s="7"/>
    </row>
    <row r="280" spans="2:2" x14ac:dyDescent="0.25">
      <c r="B280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2022-09-20T01:44:17Z</dcterms:modified>
</cp:coreProperties>
</file>