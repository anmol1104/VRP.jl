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C538997E-0B7F-448F-913A-70319C65E30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SP Benchmarking" sheetId="1" r:id="rId1"/>
    <sheet name="VRP Benchmark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6" i="2" l="1"/>
  <c r="F65" i="2"/>
  <c r="F64" i="2"/>
  <c r="F63" i="2"/>
  <c r="H63" i="2" s="1"/>
  <c r="F61" i="1"/>
  <c r="H61" i="1" s="1"/>
  <c r="F60" i="1"/>
  <c r="H60" i="1" s="1"/>
  <c r="F59" i="1"/>
  <c r="F58" i="1"/>
  <c r="F57" i="1"/>
  <c r="H66" i="2"/>
  <c r="H65" i="2"/>
  <c r="H64" i="2"/>
  <c r="F62" i="2"/>
  <c r="H62" i="2" s="1"/>
  <c r="H59" i="1"/>
  <c r="H58" i="1"/>
  <c r="H57" i="1"/>
  <c r="E66" i="2"/>
  <c r="E62" i="2"/>
  <c r="E65" i="2"/>
  <c r="E64" i="2"/>
  <c r="E63" i="2"/>
  <c r="E61" i="1"/>
  <c r="E60" i="1"/>
  <c r="E59" i="1"/>
  <c r="E58" i="1"/>
  <c r="C57" i="1"/>
  <c r="E57" i="1" s="1"/>
</calcChain>
</file>

<file path=xl/sharedStrings.xml><?xml version="1.0" encoding="utf-8"?>
<sst xmlns="http://schemas.openxmlformats.org/spreadsheetml/2006/main" count="149" uniqueCount="88">
  <si>
    <t>a280</t>
  </si>
  <si>
    <t>Best known</t>
  </si>
  <si>
    <t>Best found</t>
  </si>
  <si>
    <t>    )</t>
  </si>
  <si>
    <t>Instance</t>
  </si>
  <si>
    <t>Gap</t>
  </si>
  <si>
    <t>Run time (s/it)</t>
  </si>
  <si>
    <t>att48</t>
  </si>
  <si>
    <t>Run time (s)</t>
  </si>
  <si>
    <t>eil101</t>
  </si>
  <si>
    <t>ch150</t>
  </si>
  <si>
    <t>d198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</si>
  <si>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</si>
  <si>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</si>
  <si>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</si>
  <si>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</si>
  <si>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</si>
  <si>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</si>
  <si>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</si>
  <si>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</si>
  <si>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</si>
  <si>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</si>
  <si>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</si>
  <si>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</si>
  <si>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</si>
  <si>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</si>
  <si>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</si>
  <si>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χ   = ALNSParameters(</t>
  </si>
  <si>
    <t>        Ψₗ  =   [</t>
  </si>
  <si>
    <t>                    :move!          ,</t>
  </si>
  <si>
    <t>Size</t>
  </si>
  <si>
    <t>        ρ   =   0.1                     ,</t>
  </si>
  <si>
    <t>Iterations</t>
  </si>
  <si>
    <t>    x = length(N)</t>
  </si>
  <si>
    <t>    n = ceil(x, digits=-(length(digits(x))-1))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</si>
  <si>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</si>
  <si>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</si>
  <si>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</si>
  <si>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</si>
  <si>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</si>
  <si>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</si>
  <si>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</si>
  <si>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</si>
  <si>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</si>
  <si>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</si>
  <si>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</si>
  <si>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</si>
  <si>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</si>
  <si>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</si>
  <si>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</si>
  <si>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</si>
  <si>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</si>
  <si>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</si>
  <si>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</si>
  <si>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</si>
  <si>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Vehicle Routing Problem (VRP) Benchmarking</t>
  </si>
  <si>
    <t>cmt10</t>
  </si>
  <si>
    <t>tai150a</t>
  </si>
  <si>
    <t>m-n101-k10</t>
  </si>
  <si>
    <t>x-n251-k28</t>
  </si>
  <si>
    <t xml:space="preserve">                    :randomnode!    , </t>
  </si>
  <si>
    <t xml:space="preserve">                    :relatednode!   , </t>
  </si>
  <si>
    <t>                    :worstnode!     ,  </t>
  </si>
  <si>
    <t>                    :randomroute!   ,</t>
  </si>
  <si>
    <t>                    :relatedroute!  ,</t>
  </si>
  <si>
    <t>                    :best!          ,</t>
  </si>
  <si>
    <t>                    :greedy!        ,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</si>
  <si>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</si>
  <si>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</si>
  <si>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</si>
  <si>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</si>
  <si>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                    :worstroute!</t>
  </si>
  <si>
    <t>        k̲   =   n ÷ 25                  ,</t>
  </si>
  <si>
    <t>        l̅   =   5n                      ,</t>
  </si>
  <si>
    <t>        k̅   =   10n                     ,</t>
  </si>
  <si>
    <t>        l̲   =   2n                      ,</t>
  </si>
  <si>
    <t>x-n303-k21</t>
  </si>
  <si>
    <t>rng</t>
  </si>
  <si>
    <t>MersenneTwister(1234)</t>
  </si>
  <si>
    <t>:random</t>
  </si>
  <si>
    <t>Initializtion</t>
  </si>
  <si>
    <t xml:space="preserve">                    :worstnode!   </t>
  </si>
  <si>
    <t>                    :best!          ,</t>
  </si>
  <si>
    <t xml:space="preserve">                    :randomnode!    , </t>
  </si>
  <si>
    <t>                    :relatednode!   ,</t>
  </si>
  <si>
    <t>                    :greedy!        ,</t>
  </si>
  <si>
    <t>                    :regret3!</t>
  </si>
  <si>
    <t>                    :regret2!      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</si>
</sst>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" fontId="1" fillId="0" borderId="2" xfId="0" applyNumberFormat="1" applyFont="1" applyBorder="1"/>
    <xf numFmtId="165" fontId="1" fillId="0" borderId="1" xfId="0" applyNumberFormat="1" applyFont="1" applyBorder="1"/>
    <xf numFmtId="1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7" fillId="0" borderId="2" xfId="0" applyFont="1" applyBorder="1" applyAlignment="1">
      <alignment vertical="top"/>
    </xf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0" fontId="1" fillId="0" borderId="0" xfId="0" applyFont="1"/>
    <xf numFmtId="0" fontId="7" fillId="0" borderId="1" xfId="0" applyFont="1" applyBorder="1" applyAlignment="1"/>
    <xf numFmtId="0" fontId="7" fillId="0" borderId="4" xfId="0" applyFont="1" applyBorder="1" applyAlignment="1">
      <alignment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0"/>
  <sheetViews>
    <sheetView topLeftCell="A22" zoomScaleNormal="100" workbookViewId="0">
      <selection activeCell="D61" sqref="D61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6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6" t="s">
        <v>36</v>
      </c>
      <c r="B1" s="17"/>
      <c r="C1" s="18"/>
      <c r="D1" s="18"/>
      <c r="E1" s="18"/>
      <c r="F1" s="18"/>
    </row>
    <row r="2" spans="1:6" ht="15" x14ac:dyDescent="0.25">
      <c r="A2" s="22"/>
      <c r="B2" s="23"/>
      <c r="C2" s="24"/>
      <c r="D2" s="24"/>
      <c r="E2" s="24"/>
      <c r="F2" s="2"/>
    </row>
    <row r="3" spans="1:6" x14ac:dyDescent="0.2">
      <c r="A3" s="25" t="s">
        <v>38</v>
      </c>
    </row>
    <row r="4" spans="1:6" x14ac:dyDescent="0.2">
      <c r="A4" s="1" t="s">
        <v>39</v>
      </c>
      <c r="B4" s="15"/>
      <c r="C4" s="1" t="s">
        <v>40</v>
      </c>
      <c r="D4" s="2"/>
      <c r="E4" s="2"/>
      <c r="F4" s="2"/>
    </row>
    <row r="5" spans="1:6" x14ac:dyDescent="0.2">
      <c r="A5" s="1" t="s">
        <v>41</v>
      </c>
      <c r="B5" s="15"/>
      <c r="C5" s="1" t="s">
        <v>44</v>
      </c>
      <c r="D5" s="2"/>
      <c r="E5" s="2"/>
      <c r="F5" s="2"/>
    </row>
    <row r="6" spans="1:6" s="11" customFormat="1" ht="12.75" customHeight="1" x14ac:dyDescent="0.25">
      <c r="A6" s="11" t="s">
        <v>42</v>
      </c>
      <c r="C6" s="11" t="s">
        <v>43</v>
      </c>
    </row>
    <row r="7" spans="1:6" s="11" customFormat="1" ht="12.75" customHeight="1" x14ac:dyDescent="0.25"/>
    <row r="8" spans="1:6" s="11" customFormat="1" ht="12.75" customHeight="1" x14ac:dyDescent="0.25">
      <c r="A8" s="26" t="s">
        <v>49</v>
      </c>
    </row>
    <row r="9" spans="1:6" s="11" customFormat="1" ht="12.75" customHeight="1" x14ac:dyDescent="0.2">
      <c r="A9" s="1" t="s">
        <v>45</v>
      </c>
      <c r="B9" s="1"/>
      <c r="C9" s="1" t="s">
        <v>46</v>
      </c>
      <c r="D9" s="1"/>
    </row>
    <row r="10" spans="1:6" s="11" customFormat="1" ht="12.75" customHeight="1" x14ac:dyDescent="0.2">
      <c r="A10" s="1" t="s">
        <v>47</v>
      </c>
      <c r="B10" s="1"/>
      <c r="C10" s="1" t="s">
        <v>48</v>
      </c>
      <c r="D10" s="1"/>
    </row>
    <row r="11" spans="1:6" s="11" customFormat="1" ht="12.75" customHeight="1" x14ac:dyDescent="0.2">
      <c r="A11" s="1"/>
      <c r="B11" s="1"/>
      <c r="C11" s="1"/>
      <c r="D11" s="1"/>
    </row>
    <row r="12" spans="1:6" s="11" customFormat="1" ht="12.75" customHeight="1" x14ac:dyDescent="0.2">
      <c r="A12" s="25" t="s">
        <v>54</v>
      </c>
      <c r="B12" s="1"/>
      <c r="C12" s="1"/>
      <c r="D12" s="1"/>
    </row>
    <row r="13" spans="1:6" s="11" customFormat="1" ht="12.75" customHeight="1" x14ac:dyDescent="0.2">
      <c r="A13" s="1" t="s">
        <v>52</v>
      </c>
      <c r="B13" s="1"/>
      <c r="C13" s="1" t="s">
        <v>53</v>
      </c>
      <c r="D13" s="1"/>
    </row>
    <row r="14" spans="1:6" s="11" customFormat="1" ht="12.75" customHeight="1" x14ac:dyDescent="0.2">
      <c r="A14" s="1" t="s">
        <v>51</v>
      </c>
      <c r="B14" s="1"/>
      <c r="C14" s="1" t="s">
        <v>50</v>
      </c>
      <c r="D14" s="1"/>
    </row>
    <row r="15" spans="1:6" s="11" customFormat="1" ht="12.75" customHeight="1" x14ac:dyDescent="0.2">
      <c r="A15" s="1" t="s">
        <v>77</v>
      </c>
      <c r="B15" s="1"/>
      <c r="C15" s="14" t="s">
        <v>78</v>
      </c>
    </row>
    <row r="16" spans="1:6" s="11" customFormat="1" ht="12.75" customHeight="1" x14ac:dyDescent="0.25">
      <c r="A16" s="11" t="s">
        <v>80</v>
      </c>
      <c r="C16" s="14" t="s">
        <v>79</v>
      </c>
    </row>
    <row r="17" spans="1:5" s="11" customFormat="1" ht="12.75" customHeight="1" x14ac:dyDescent="0.2">
      <c r="A17" s="1"/>
      <c r="B17" s="9"/>
      <c r="C17" s="14"/>
    </row>
    <row r="18" spans="1:5" s="11" customFormat="1" ht="12.75" customHeight="1" x14ac:dyDescent="0.25">
      <c r="A18" s="12" t="s">
        <v>35</v>
      </c>
      <c r="B18" s="10"/>
    </row>
    <row r="19" spans="1:5" s="11" customFormat="1" ht="12.75" customHeight="1" x14ac:dyDescent="0.25">
      <c r="A19" s="14" t="s">
        <v>33</v>
      </c>
      <c r="B19" s="13"/>
    </row>
    <row r="20" spans="1:5" s="11" customFormat="1" ht="12.75" customHeight="1" x14ac:dyDescent="0.25">
      <c r="A20" s="14" t="s">
        <v>34</v>
      </c>
      <c r="B20" s="13"/>
    </row>
    <row r="21" spans="1:5" s="11" customFormat="1" ht="12.75" customHeight="1" x14ac:dyDescent="0.25">
      <c r="A21" s="14" t="s">
        <v>27</v>
      </c>
      <c r="B21" s="13"/>
    </row>
    <row r="22" spans="1:5" s="11" customFormat="1" ht="12.75" customHeight="1" x14ac:dyDescent="0.3">
      <c r="A22" s="28" t="s">
        <v>72</v>
      </c>
      <c r="B22" s="13"/>
    </row>
    <row r="23" spans="1:5" s="11" customFormat="1" ht="12.75" customHeight="1" x14ac:dyDescent="0.3">
      <c r="A23" s="28" t="s">
        <v>75</v>
      </c>
      <c r="B23" s="14"/>
      <c r="C23" s="14"/>
      <c r="D23" s="14"/>
      <c r="E23" s="14"/>
    </row>
    <row r="24" spans="1:5" s="11" customFormat="1" ht="12.75" customHeight="1" x14ac:dyDescent="0.3">
      <c r="A24" s="28" t="s">
        <v>73</v>
      </c>
      <c r="B24" s="14"/>
      <c r="C24" s="14"/>
      <c r="D24" s="14"/>
      <c r="E24" s="14"/>
    </row>
    <row r="25" spans="1:5" s="11" customFormat="1" ht="12.75" customHeight="1" x14ac:dyDescent="0.3">
      <c r="A25" s="28" t="s">
        <v>74</v>
      </c>
      <c r="B25" s="14"/>
      <c r="C25" s="14"/>
      <c r="D25" s="14"/>
      <c r="E25" s="14"/>
    </row>
    <row r="26" spans="1:5" s="11" customFormat="1" ht="12.75" customHeight="1" x14ac:dyDescent="0.25">
      <c r="A26" s="14" t="s">
        <v>14</v>
      </c>
      <c r="B26" s="13"/>
    </row>
    <row r="27" spans="1:5" s="11" customFormat="1" ht="12.75" customHeight="1" x14ac:dyDescent="0.25">
      <c r="A27" s="14" t="s">
        <v>83</v>
      </c>
      <c r="B27" s="13"/>
    </row>
    <row r="28" spans="1:5" s="11" customFormat="1" ht="12.75" customHeight="1" x14ac:dyDescent="0.25">
      <c r="A28" s="14" t="s">
        <v>84</v>
      </c>
      <c r="B28" s="13"/>
    </row>
    <row r="29" spans="1:5" s="11" customFormat="1" ht="12.75" customHeight="1" x14ac:dyDescent="0.25">
      <c r="A29" s="14" t="s">
        <v>81</v>
      </c>
      <c r="B29" s="13"/>
    </row>
    <row r="30" spans="1:5" s="11" customFormat="1" ht="12.75" customHeight="1" x14ac:dyDescent="0.25">
      <c r="A30" s="14" t="s">
        <v>12</v>
      </c>
      <c r="B30" s="13"/>
    </row>
    <row r="31" spans="1:5" s="11" customFormat="1" ht="12.75" customHeight="1" x14ac:dyDescent="0.25">
      <c r="A31" s="14" t="s">
        <v>15</v>
      </c>
      <c r="B31" s="13"/>
    </row>
    <row r="32" spans="1:5" s="11" customFormat="1" ht="12.75" customHeight="1" x14ac:dyDescent="0.25">
      <c r="A32" s="14" t="s">
        <v>82</v>
      </c>
      <c r="B32" s="13"/>
    </row>
    <row r="33" spans="1:8" s="11" customFormat="1" ht="12.75" customHeight="1" x14ac:dyDescent="0.25">
      <c r="A33" s="14" t="s">
        <v>85</v>
      </c>
      <c r="B33" s="13"/>
    </row>
    <row r="34" spans="1:8" s="11" customFormat="1" ht="12.75" customHeight="1" x14ac:dyDescent="0.25">
      <c r="A34" s="14" t="s">
        <v>87</v>
      </c>
      <c r="B34" s="13"/>
    </row>
    <row r="35" spans="1:8" s="11" customFormat="1" ht="12.75" customHeight="1" x14ac:dyDescent="0.25">
      <c r="A35" s="14" t="s">
        <v>86</v>
      </c>
      <c r="B35" s="13"/>
    </row>
    <row r="36" spans="1:8" s="11" customFormat="1" ht="12.75" customHeight="1" x14ac:dyDescent="0.25">
      <c r="A36" s="14" t="s">
        <v>13</v>
      </c>
      <c r="B36" s="13"/>
    </row>
    <row r="37" spans="1:8" s="11" customFormat="1" ht="12.75" customHeight="1" x14ac:dyDescent="0.25">
      <c r="A37" s="14" t="s">
        <v>28</v>
      </c>
      <c r="B37" s="13"/>
    </row>
    <row r="38" spans="1:8" s="11" customFormat="1" ht="12.75" customHeight="1" x14ac:dyDescent="0.25">
      <c r="A38" s="14" t="s">
        <v>29</v>
      </c>
      <c r="B38" s="13"/>
    </row>
    <row r="39" spans="1:8" s="11" customFormat="1" ht="12.75" customHeight="1" x14ac:dyDescent="0.25">
      <c r="A39" s="14" t="s">
        <v>67</v>
      </c>
      <c r="B39" s="13"/>
    </row>
    <row r="40" spans="1:8" s="11" customFormat="1" ht="12.75" customHeight="1" x14ac:dyDescent="0.25">
      <c r="A40" s="14" t="s">
        <v>16</v>
      </c>
      <c r="B40" s="13"/>
    </row>
    <row r="41" spans="1:8" s="11" customFormat="1" ht="12.75" customHeight="1" x14ac:dyDescent="0.25">
      <c r="A41" s="14" t="s">
        <v>13</v>
      </c>
      <c r="B41" s="13"/>
    </row>
    <row r="42" spans="1:8" ht="14.25" x14ac:dyDescent="0.2">
      <c r="A42" s="14" t="s">
        <v>17</v>
      </c>
      <c r="B42" s="13"/>
      <c r="C42" s="11"/>
      <c r="D42" s="11"/>
      <c r="E42" s="11"/>
      <c r="F42" s="11"/>
      <c r="G42" s="11"/>
      <c r="H42" s="11"/>
    </row>
    <row r="43" spans="1:8" ht="14.25" x14ac:dyDescent="0.2">
      <c r="A43" s="14" t="s">
        <v>18</v>
      </c>
      <c r="B43" s="13"/>
      <c r="C43" s="11"/>
      <c r="D43" s="11"/>
      <c r="E43" s="11"/>
      <c r="F43" s="11"/>
      <c r="G43" s="11"/>
      <c r="H43" s="11"/>
    </row>
    <row r="44" spans="1:8" ht="14.25" x14ac:dyDescent="0.2">
      <c r="A44" s="14" t="s">
        <v>19</v>
      </c>
      <c r="B44" s="13"/>
      <c r="C44" s="11"/>
      <c r="D44" s="11"/>
      <c r="E44" s="11"/>
      <c r="F44" s="11"/>
      <c r="G44" s="11"/>
      <c r="H44" s="11"/>
    </row>
    <row r="45" spans="1:8" ht="14.25" x14ac:dyDescent="0.2">
      <c r="A45" s="14" t="s">
        <v>20</v>
      </c>
      <c r="B45" s="13"/>
      <c r="C45" s="11"/>
      <c r="D45" s="11"/>
      <c r="E45" s="11"/>
      <c r="F45" s="11"/>
      <c r="G45" s="11"/>
      <c r="H45" s="11"/>
    </row>
    <row r="46" spans="1:8" ht="14.25" x14ac:dyDescent="0.2">
      <c r="A46" s="14" t="s">
        <v>21</v>
      </c>
      <c r="B46" s="13"/>
      <c r="C46" s="11"/>
      <c r="D46" s="11"/>
      <c r="E46" s="11"/>
      <c r="F46" s="11"/>
      <c r="G46" s="11"/>
      <c r="H46" s="11"/>
    </row>
    <row r="47" spans="1:8" ht="14.25" x14ac:dyDescent="0.2">
      <c r="A47" s="14" t="s">
        <v>22</v>
      </c>
      <c r="B47" s="13"/>
      <c r="C47" s="11"/>
      <c r="D47" s="11"/>
      <c r="E47" s="11"/>
      <c r="F47" s="11"/>
      <c r="G47" s="11"/>
      <c r="H47" s="11"/>
    </row>
    <row r="48" spans="1:8" ht="14.25" x14ac:dyDescent="0.2">
      <c r="A48" s="14" t="s">
        <v>23</v>
      </c>
      <c r="B48" s="13"/>
      <c r="C48" s="11"/>
      <c r="D48" s="11"/>
      <c r="E48" s="11"/>
      <c r="F48" s="11"/>
      <c r="G48" s="11"/>
      <c r="H48" s="11"/>
    </row>
    <row r="49" spans="1:8" ht="14.25" x14ac:dyDescent="0.2">
      <c r="A49" s="14" t="s">
        <v>24</v>
      </c>
      <c r="B49" s="13"/>
      <c r="C49" s="11"/>
      <c r="D49" s="11"/>
      <c r="E49" s="11"/>
      <c r="F49" s="11"/>
      <c r="G49" s="11"/>
      <c r="H49" s="11"/>
    </row>
    <row r="50" spans="1:8" ht="14.25" x14ac:dyDescent="0.2">
      <c r="A50" s="14" t="s">
        <v>25</v>
      </c>
      <c r="B50" s="13"/>
      <c r="C50" s="11"/>
      <c r="D50" s="11"/>
      <c r="E50" s="11"/>
      <c r="F50" s="11"/>
      <c r="G50" s="11"/>
      <c r="H50" s="11"/>
    </row>
    <row r="51" spans="1:8" ht="14.25" x14ac:dyDescent="0.2">
      <c r="A51" s="14" t="s">
        <v>26</v>
      </c>
      <c r="B51" s="13"/>
      <c r="C51" s="11"/>
      <c r="D51" s="11"/>
      <c r="E51" s="11"/>
      <c r="F51" s="11"/>
      <c r="G51" s="11"/>
      <c r="H51" s="11"/>
    </row>
    <row r="52" spans="1:8" ht="14.25" x14ac:dyDescent="0.2">
      <c r="A52" s="14" t="s">
        <v>31</v>
      </c>
      <c r="B52" s="13"/>
      <c r="C52" s="11"/>
      <c r="D52" s="11"/>
      <c r="E52" s="11"/>
      <c r="F52" s="11"/>
      <c r="G52" s="11"/>
      <c r="H52" s="11"/>
    </row>
    <row r="53" spans="1:8" ht="14.25" x14ac:dyDescent="0.2">
      <c r="A53" s="14" t="s">
        <v>3</v>
      </c>
      <c r="B53" s="13"/>
      <c r="C53" s="11"/>
      <c r="D53" s="11"/>
      <c r="E53" s="11"/>
      <c r="F53" s="11"/>
      <c r="G53" s="11"/>
      <c r="H53" s="11"/>
    </row>
    <row r="54" spans="1:8" x14ac:dyDescent="0.2">
      <c r="A54" s="2"/>
      <c r="B54" s="13"/>
      <c r="C54" s="11"/>
      <c r="D54" s="11"/>
      <c r="E54" s="11"/>
      <c r="F54" s="11"/>
      <c r="G54" s="11"/>
      <c r="H54" s="11"/>
    </row>
    <row r="55" spans="1:8" x14ac:dyDescent="0.2">
      <c r="A55" s="20" t="s">
        <v>37</v>
      </c>
      <c r="B55" s="9"/>
    </row>
    <row r="56" spans="1:8" x14ac:dyDescent="0.2">
      <c r="A56" s="21" t="s">
        <v>4</v>
      </c>
      <c r="B56" s="21" t="s">
        <v>30</v>
      </c>
      <c r="C56" s="21" t="s">
        <v>1</v>
      </c>
      <c r="D56" s="21" t="s">
        <v>2</v>
      </c>
      <c r="E56" s="21" t="s">
        <v>5</v>
      </c>
      <c r="F56" s="21" t="s">
        <v>6</v>
      </c>
      <c r="G56" s="21" t="s">
        <v>32</v>
      </c>
      <c r="H56" s="21" t="s">
        <v>8</v>
      </c>
    </row>
    <row r="57" spans="1:8" x14ac:dyDescent="0.2">
      <c r="A57" s="2" t="s">
        <v>7</v>
      </c>
      <c r="B57" s="2">
        <v>48</v>
      </c>
      <c r="C57" s="4">
        <f>10628*SQRT(10)</f>
        <v>33608.686972269541</v>
      </c>
      <c r="D57" s="4">
        <v>33784.027009874801</v>
      </c>
      <c r="E57" s="3">
        <f>D57/C57-1</f>
        <v>5.2171046655269393E-3</v>
      </c>
      <c r="F57" s="7">
        <f>0.76/1000</f>
        <v>7.6000000000000004E-4</v>
      </c>
      <c r="G57" s="1">
        <v>500</v>
      </c>
      <c r="H57" s="8">
        <f>F57 * G57</f>
        <v>0.38</v>
      </c>
    </row>
    <row r="58" spans="1:8" x14ac:dyDescent="0.2">
      <c r="A58" s="1" t="s">
        <v>9</v>
      </c>
      <c r="B58" s="1">
        <v>101</v>
      </c>
      <c r="C58" s="1">
        <v>629</v>
      </c>
      <c r="D58" s="6">
        <v>644.76317640718605</v>
      </c>
      <c r="E58" s="3">
        <f>D58/C58-1</f>
        <v>2.5060693811106649E-2</v>
      </c>
      <c r="F58" s="5">
        <f>5.97/1000</f>
        <v>5.9699999999999996E-3</v>
      </c>
      <c r="G58" s="1">
        <v>2000</v>
      </c>
      <c r="H58" s="8">
        <f t="shared" ref="H58:H61" si="0">F58 * G58</f>
        <v>11.94</v>
      </c>
    </row>
    <row r="59" spans="1:8" x14ac:dyDescent="0.2">
      <c r="A59" s="2" t="s">
        <v>10</v>
      </c>
      <c r="B59" s="2">
        <v>150</v>
      </c>
      <c r="C59" s="4">
        <v>6528</v>
      </c>
      <c r="D59" s="4">
        <v>6617.2076601047102</v>
      </c>
      <c r="E59" s="3">
        <f>D59/C59-1</f>
        <v>1.3665389109177362E-2</v>
      </c>
      <c r="F59" s="5">
        <f>19.6/1000</f>
        <v>1.9600000000000003E-2</v>
      </c>
      <c r="G59" s="1">
        <v>2000</v>
      </c>
      <c r="H59" s="8">
        <f t="shared" si="0"/>
        <v>39.200000000000003</v>
      </c>
    </row>
    <row r="60" spans="1:8" x14ac:dyDescent="0.2">
      <c r="A60" s="2" t="s">
        <v>11</v>
      </c>
      <c r="B60" s="2">
        <v>198</v>
      </c>
      <c r="C60" s="4">
        <v>15780</v>
      </c>
      <c r="D60" s="4">
        <v>15936.9582831646</v>
      </c>
      <c r="E60" s="3">
        <f t="shared" ref="E60:E61" si="1">D60/C60-1</f>
        <v>9.946659262648927E-3</v>
      </c>
      <c r="F60" s="5">
        <f>31.7/1000</f>
        <v>3.1699999999999999E-2</v>
      </c>
      <c r="G60" s="1">
        <v>2000</v>
      </c>
      <c r="H60" s="8">
        <f t="shared" si="0"/>
        <v>63.4</v>
      </c>
    </row>
    <row r="61" spans="1:8" x14ac:dyDescent="0.2">
      <c r="A61" s="2" t="s">
        <v>0</v>
      </c>
      <c r="B61" s="2">
        <v>280</v>
      </c>
      <c r="C61" s="2">
        <v>2579</v>
      </c>
      <c r="D61" s="4">
        <v>2650.9616868253902</v>
      </c>
      <c r="E61" s="3">
        <f t="shared" si="1"/>
        <v>2.7902941770217238E-2</v>
      </c>
      <c r="F61" s="5">
        <f>57.52/1000</f>
        <v>5.7520000000000002E-2</v>
      </c>
      <c r="G61" s="1">
        <v>3000</v>
      </c>
      <c r="H61" s="8">
        <f t="shared" si="0"/>
        <v>172.56</v>
      </c>
    </row>
    <row r="62" spans="1:8" x14ac:dyDescent="0.2">
      <c r="B62" s="9"/>
    </row>
    <row r="63" spans="1:8" x14ac:dyDescent="0.2">
      <c r="B63" s="9"/>
    </row>
    <row r="64" spans="1:8" x14ac:dyDescent="0.2">
      <c r="B64" s="9"/>
    </row>
    <row r="65" spans="2:2" x14ac:dyDescent="0.2">
      <c r="B65" s="9"/>
    </row>
    <row r="66" spans="2:2" x14ac:dyDescent="0.2">
      <c r="B66" s="9"/>
    </row>
    <row r="67" spans="2:2" x14ac:dyDescent="0.2">
      <c r="B67" s="9"/>
    </row>
    <row r="68" spans="2:2" x14ac:dyDescent="0.2">
      <c r="B68" s="9"/>
    </row>
    <row r="69" spans="2:2" x14ac:dyDescent="0.2">
      <c r="B69" s="9"/>
    </row>
    <row r="70" spans="2:2" x14ac:dyDescent="0.2">
      <c r="B70" s="9"/>
    </row>
    <row r="71" spans="2:2" x14ac:dyDescent="0.2">
      <c r="B71" s="9"/>
    </row>
    <row r="72" spans="2:2" x14ac:dyDescent="0.2">
      <c r="B72" s="9"/>
    </row>
    <row r="73" spans="2:2" x14ac:dyDescent="0.2">
      <c r="B73" s="9"/>
    </row>
    <row r="74" spans="2:2" x14ac:dyDescent="0.2">
      <c r="B74" s="9"/>
    </row>
    <row r="75" spans="2:2" x14ac:dyDescent="0.2">
      <c r="B75" s="9"/>
    </row>
    <row r="76" spans="2:2" x14ac:dyDescent="0.2">
      <c r="B76" s="9"/>
    </row>
    <row r="77" spans="2:2" x14ac:dyDescent="0.2">
      <c r="B77" s="9"/>
    </row>
    <row r="78" spans="2:2" x14ac:dyDescent="0.2">
      <c r="B78" s="9"/>
    </row>
    <row r="79" spans="2:2" x14ac:dyDescent="0.2">
      <c r="B79" s="9"/>
    </row>
    <row r="80" spans="2:2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  <row r="201" spans="2:2" x14ac:dyDescent="0.2">
      <c r="B201" s="9"/>
    </row>
    <row r="202" spans="2:2" x14ac:dyDescent="0.2">
      <c r="B202" s="9"/>
    </row>
    <row r="203" spans="2:2" x14ac:dyDescent="0.2">
      <c r="B203" s="9"/>
    </row>
    <row r="204" spans="2:2" x14ac:dyDescent="0.2">
      <c r="B204" s="9"/>
    </row>
    <row r="205" spans="2:2" x14ac:dyDescent="0.2">
      <c r="B205" s="9"/>
    </row>
    <row r="206" spans="2:2" x14ac:dyDescent="0.2">
      <c r="B206" s="9"/>
    </row>
    <row r="207" spans="2:2" x14ac:dyDescent="0.2">
      <c r="B207" s="9"/>
    </row>
    <row r="208" spans="2:2" x14ac:dyDescent="0.2">
      <c r="B208" s="9"/>
    </row>
    <row r="209" spans="2:2" x14ac:dyDescent="0.2">
      <c r="B209" s="9"/>
    </row>
    <row r="210" spans="2:2" x14ac:dyDescent="0.2">
      <c r="B210" s="9"/>
    </row>
    <row r="211" spans="2:2" x14ac:dyDescent="0.2">
      <c r="B211" s="9"/>
    </row>
    <row r="212" spans="2:2" x14ac:dyDescent="0.2">
      <c r="B212" s="9"/>
    </row>
    <row r="213" spans="2:2" x14ac:dyDescent="0.2">
      <c r="B213" s="9"/>
    </row>
    <row r="214" spans="2:2" x14ac:dyDescent="0.2">
      <c r="B214" s="9"/>
    </row>
    <row r="215" spans="2:2" x14ac:dyDescent="0.2">
      <c r="B215" s="9"/>
    </row>
    <row r="216" spans="2:2" x14ac:dyDescent="0.2">
      <c r="B216" s="9"/>
    </row>
    <row r="217" spans="2:2" x14ac:dyDescent="0.2">
      <c r="B217" s="9"/>
    </row>
    <row r="218" spans="2:2" x14ac:dyDescent="0.2">
      <c r="B218" s="9"/>
    </row>
    <row r="219" spans="2:2" x14ac:dyDescent="0.2">
      <c r="B219" s="9"/>
    </row>
    <row r="220" spans="2:2" x14ac:dyDescent="0.2">
      <c r="B220" s="9"/>
    </row>
    <row r="221" spans="2:2" x14ac:dyDescent="0.2">
      <c r="B221" s="9"/>
    </row>
    <row r="222" spans="2:2" x14ac:dyDescent="0.2">
      <c r="B222" s="9"/>
    </row>
    <row r="223" spans="2:2" x14ac:dyDescent="0.2">
      <c r="B223" s="9"/>
    </row>
    <row r="224" spans="2:2" x14ac:dyDescent="0.2">
      <c r="B224" s="9"/>
    </row>
    <row r="225" spans="2:2" x14ac:dyDescent="0.2">
      <c r="B225" s="9"/>
    </row>
    <row r="226" spans="2:2" x14ac:dyDescent="0.2">
      <c r="B226" s="9"/>
    </row>
    <row r="227" spans="2:2" x14ac:dyDescent="0.2">
      <c r="B227" s="9"/>
    </row>
    <row r="228" spans="2:2" x14ac:dyDescent="0.2">
      <c r="B228" s="9"/>
    </row>
    <row r="229" spans="2:2" x14ac:dyDescent="0.2">
      <c r="B229" s="9"/>
    </row>
    <row r="230" spans="2:2" x14ac:dyDescent="0.2">
      <c r="B230" s="9"/>
    </row>
    <row r="231" spans="2:2" x14ac:dyDescent="0.2">
      <c r="B231" s="9"/>
    </row>
    <row r="232" spans="2:2" x14ac:dyDescent="0.2">
      <c r="B232" s="9"/>
    </row>
    <row r="233" spans="2:2" x14ac:dyDescent="0.2">
      <c r="B233" s="9"/>
    </row>
    <row r="234" spans="2:2" x14ac:dyDescent="0.2">
      <c r="B234" s="9"/>
    </row>
    <row r="235" spans="2:2" x14ac:dyDescent="0.2">
      <c r="B235" s="9"/>
    </row>
    <row r="236" spans="2:2" x14ac:dyDescent="0.2">
      <c r="B236" s="9"/>
    </row>
    <row r="237" spans="2:2" x14ac:dyDescent="0.2">
      <c r="B237" s="9"/>
    </row>
    <row r="238" spans="2:2" x14ac:dyDescent="0.2">
      <c r="B238" s="9"/>
    </row>
    <row r="239" spans="2:2" x14ac:dyDescent="0.2">
      <c r="B239" s="9"/>
    </row>
    <row r="240" spans="2:2" x14ac:dyDescent="0.2">
      <c r="B240" s="9"/>
    </row>
    <row r="241" spans="2:2" x14ac:dyDescent="0.2">
      <c r="B241" s="9"/>
    </row>
    <row r="242" spans="2:2" x14ac:dyDescent="0.2">
      <c r="B242" s="9"/>
    </row>
    <row r="243" spans="2:2" x14ac:dyDescent="0.2">
      <c r="B243" s="9"/>
    </row>
    <row r="244" spans="2:2" x14ac:dyDescent="0.2">
      <c r="B244" s="9"/>
    </row>
    <row r="245" spans="2:2" x14ac:dyDescent="0.2">
      <c r="B245" s="9"/>
    </row>
    <row r="246" spans="2:2" x14ac:dyDescent="0.2">
      <c r="B246" s="9"/>
    </row>
    <row r="247" spans="2:2" x14ac:dyDescent="0.2">
      <c r="B247" s="9"/>
    </row>
    <row r="248" spans="2:2" x14ac:dyDescent="0.2">
      <c r="B248" s="9"/>
    </row>
    <row r="249" spans="2:2" x14ac:dyDescent="0.2">
      <c r="B249" s="9"/>
    </row>
    <row r="250" spans="2:2" x14ac:dyDescent="0.2">
      <c r="B250" s="9"/>
    </row>
    <row r="251" spans="2:2" x14ac:dyDescent="0.2">
      <c r="B251" s="9"/>
    </row>
    <row r="252" spans="2:2" x14ac:dyDescent="0.2">
      <c r="B252" s="9"/>
    </row>
    <row r="253" spans="2:2" x14ac:dyDescent="0.2">
      <c r="B253" s="9"/>
    </row>
    <row r="254" spans="2:2" x14ac:dyDescent="0.2">
      <c r="B254" s="9"/>
    </row>
    <row r="255" spans="2:2" x14ac:dyDescent="0.2">
      <c r="B255" s="9"/>
    </row>
    <row r="256" spans="2:2" x14ac:dyDescent="0.2">
      <c r="B256" s="9"/>
    </row>
    <row r="257" spans="2:2" x14ac:dyDescent="0.2">
      <c r="B257" s="9"/>
    </row>
    <row r="258" spans="2:2" x14ac:dyDescent="0.2">
      <c r="B258" s="9"/>
    </row>
    <row r="259" spans="2:2" x14ac:dyDescent="0.2">
      <c r="B259" s="9"/>
    </row>
    <row r="260" spans="2:2" x14ac:dyDescent="0.2">
      <c r="B260" s="9"/>
    </row>
    <row r="261" spans="2:2" x14ac:dyDescent="0.2">
      <c r="B261" s="9"/>
    </row>
    <row r="262" spans="2:2" x14ac:dyDescent="0.2">
      <c r="B262" s="9"/>
    </row>
    <row r="263" spans="2:2" x14ac:dyDescent="0.2">
      <c r="B263" s="9"/>
    </row>
    <row r="264" spans="2:2" x14ac:dyDescent="0.2">
      <c r="B264" s="9"/>
    </row>
    <row r="265" spans="2:2" x14ac:dyDescent="0.2">
      <c r="B265" s="9"/>
    </row>
    <row r="266" spans="2:2" x14ac:dyDescent="0.2">
      <c r="B266" s="9"/>
    </row>
    <row r="267" spans="2:2" x14ac:dyDescent="0.2">
      <c r="B267" s="9"/>
    </row>
    <row r="268" spans="2:2" x14ac:dyDescent="0.2">
      <c r="B268" s="9"/>
    </row>
    <row r="269" spans="2:2" x14ac:dyDescent="0.2">
      <c r="B269" s="9"/>
    </row>
    <row r="270" spans="2:2" x14ac:dyDescent="0.2">
      <c r="B270" s="9"/>
    </row>
    <row r="271" spans="2:2" x14ac:dyDescent="0.2">
      <c r="B271" s="9"/>
    </row>
    <row r="272" spans="2:2" x14ac:dyDescent="0.2">
      <c r="B272" s="9"/>
    </row>
    <row r="273" spans="2:2" x14ac:dyDescent="0.2">
      <c r="B273" s="9"/>
    </row>
    <row r="274" spans="2:2" x14ac:dyDescent="0.2">
      <c r="B274" s="9"/>
    </row>
    <row r="275" spans="2:2" x14ac:dyDescent="0.2">
      <c r="B275" s="9"/>
    </row>
    <row r="276" spans="2:2" x14ac:dyDescent="0.2">
      <c r="B276" s="9"/>
    </row>
    <row r="277" spans="2:2" x14ac:dyDescent="0.2">
      <c r="B277" s="9"/>
    </row>
    <row r="278" spans="2:2" x14ac:dyDescent="0.2">
      <c r="B278" s="9"/>
    </row>
    <row r="279" spans="2:2" x14ac:dyDescent="0.2">
      <c r="B279" s="9"/>
    </row>
    <row r="280" spans="2:2" x14ac:dyDescent="0.2">
      <c r="B280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C412A-E77F-4CFD-9D5D-B1480BEBE47D}">
  <dimension ref="A1:U276"/>
  <sheetViews>
    <sheetView tabSelected="1" topLeftCell="A16" workbookViewId="0">
      <selection activeCell="F67" sqref="F67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7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6" t="s">
        <v>55</v>
      </c>
      <c r="B1" s="17"/>
      <c r="C1" s="18"/>
      <c r="D1" s="18"/>
      <c r="E1" s="18"/>
      <c r="F1" s="18"/>
    </row>
    <row r="2" spans="1:6" ht="15" x14ac:dyDescent="0.25">
      <c r="A2" s="22"/>
      <c r="B2" s="23"/>
      <c r="C2" s="24"/>
      <c r="D2" s="24"/>
      <c r="E2" s="24"/>
      <c r="F2" s="2"/>
    </row>
    <row r="3" spans="1:6" x14ac:dyDescent="0.2">
      <c r="A3" s="25" t="s">
        <v>38</v>
      </c>
    </row>
    <row r="4" spans="1:6" x14ac:dyDescent="0.2">
      <c r="A4" s="1" t="s">
        <v>39</v>
      </c>
      <c r="B4" s="15"/>
      <c r="C4" s="1" t="s">
        <v>40</v>
      </c>
      <c r="D4" s="2"/>
      <c r="E4" s="2"/>
      <c r="F4" s="2"/>
    </row>
    <row r="5" spans="1:6" x14ac:dyDescent="0.2">
      <c r="A5" s="1" t="s">
        <v>41</v>
      </c>
      <c r="B5" s="15"/>
      <c r="C5" s="1" t="s">
        <v>44</v>
      </c>
      <c r="D5" s="2"/>
      <c r="E5" s="2"/>
      <c r="F5" s="2"/>
    </row>
    <row r="6" spans="1:6" s="11" customFormat="1" ht="12.75" customHeight="1" x14ac:dyDescent="0.25">
      <c r="A6" s="11" t="s">
        <v>42</v>
      </c>
      <c r="C6" s="11" t="s">
        <v>43</v>
      </c>
    </row>
    <row r="7" spans="1:6" s="11" customFormat="1" ht="12.75" customHeight="1" x14ac:dyDescent="0.25"/>
    <row r="8" spans="1:6" s="11" customFormat="1" ht="12.75" customHeight="1" x14ac:dyDescent="0.25">
      <c r="A8" s="26" t="s">
        <v>49</v>
      </c>
    </row>
    <row r="9" spans="1:6" s="11" customFormat="1" ht="12.75" customHeight="1" x14ac:dyDescent="0.2">
      <c r="A9" s="1" t="s">
        <v>45</v>
      </c>
      <c r="B9" s="1"/>
      <c r="C9" s="1" t="s">
        <v>46</v>
      </c>
      <c r="D9" s="1"/>
    </row>
    <row r="10" spans="1:6" s="11" customFormat="1" ht="12.75" customHeight="1" x14ac:dyDescent="0.2">
      <c r="A10" s="1" t="s">
        <v>47</v>
      </c>
      <c r="B10" s="1"/>
      <c r="C10" s="1" t="s">
        <v>48</v>
      </c>
      <c r="D10" s="1"/>
    </row>
    <row r="11" spans="1:6" s="11" customFormat="1" ht="12.75" customHeight="1" x14ac:dyDescent="0.2">
      <c r="A11" s="1"/>
      <c r="B11" s="1"/>
      <c r="C11" s="1"/>
      <c r="D11" s="1"/>
    </row>
    <row r="12" spans="1:6" s="11" customFormat="1" ht="12.75" customHeight="1" x14ac:dyDescent="0.2">
      <c r="A12" s="25" t="s">
        <v>54</v>
      </c>
      <c r="B12" s="1"/>
      <c r="C12" s="1"/>
      <c r="D12" s="1"/>
    </row>
    <row r="13" spans="1:6" s="11" customFormat="1" ht="12.75" customHeight="1" x14ac:dyDescent="0.2">
      <c r="A13" s="1" t="s">
        <v>52</v>
      </c>
      <c r="B13" s="1"/>
      <c r="C13" s="1" t="s">
        <v>53</v>
      </c>
      <c r="D13" s="1"/>
    </row>
    <row r="14" spans="1:6" s="11" customFormat="1" ht="12.75" customHeight="1" x14ac:dyDescent="0.2">
      <c r="A14" s="1" t="s">
        <v>51</v>
      </c>
      <c r="B14" s="1"/>
      <c r="C14" s="1" t="s">
        <v>50</v>
      </c>
      <c r="D14" s="1"/>
    </row>
    <row r="15" spans="1:6" s="11" customFormat="1" ht="12.75" customHeight="1" x14ac:dyDescent="0.2">
      <c r="A15" s="1" t="s">
        <v>77</v>
      </c>
      <c r="B15" s="1"/>
      <c r="C15" s="14" t="s">
        <v>78</v>
      </c>
      <c r="D15" s="1"/>
    </row>
    <row r="16" spans="1:6" s="11" customFormat="1" ht="12.75" customHeight="1" x14ac:dyDescent="0.25">
      <c r="A16" s="11" t="s">
        <v>80</v>
      </c>
      <c r="C16" s="14" t="s">
        <v>79</v>
      </c>
    </row>
    <row r="17" spans="1:21" ht="14.25" x14ac:dyDescent="0.2">
      <c r="A17" s="25"/>
      <c r="B17" s="14"/>
      <c r="C17" s="14"/>
      <c r="O17" s="14"/>
      <c r="P17" s="13"/>
      <c r="Q17" s="11"/>
      <c r="R17" s="11"/>
      <c r="S17" s="11"/>
      <c r="T17" s="11"/>
      <c r="U17" s="11"/>
    </row>
    <row r="18" spans="1:21" s="11" customFormat="1" ht="12.75" customHeight="1" x14ac:dyDescent="0.25">
      <c r="A18" s="12" t="s">
        <v>35</v>
      </c>
      <c r="B18" s="10"/>
    </row>
    <row r="19" spans="1:21" s="11" customFormat="1" ht="12.75" customHeight="1" x14ac:dyDescent="0.25">
      <c r="A19" s="14" t="s">
        <v>33</v>
      </c>
      <c r="B19" s="13"/>
    </row>
    <row r="20" spans="1:21" s="11" customFormat="1" ht="12.75" customHeight="1" x14ac:dyDescent="0.25">
      <c r="A20" s="14" t="s">
        <v>34</v>
      </c>
      <c r="B20" s="13"/>
    </row>
    <row r="21" spans="1:21" s="11" customFormat="1" ht="12.75" customHeight="1" x14ac:dyDescent="0.25">
      <c r="A21" s="14" t="s">
        <v>27</v>
      </c>
      <c r="B21" s="13"/>
    </row>
    <row r="22" spans="1:21" s="11" customFormat="1" ht="12.75" customHeight="1" x14ac:dyDescent="0.3">
      <c r="A22" s="28" t="s">
        <v>72</v>
      </c>
      <c r="B22" s="13"/>
    </row>
    <row r="23" spans="1:21" s="11" customFormat="1" ht="12.75" customHeight="1" x14ac:dyDescent="0.3">
      <c r="A23" s="28" t="s">
        <v>75</v>
      </c>
      <c r="B23" s="14"/>
      <c r="C23" s="14"/>
      <c r="D23" s="14"/>
      <c r="E23" s="14"/>
      <c r="F23" s="14"/>
      <c r="G23" s="14"/>
      <c r="H23" s="14"/>
    </row>
    <row r="24" spans="1:21" s="11" customFormat="1" ht="12.75" customHeight="1" x14ac:dyDescent="0.3">
      <c r="A24" s="28" t="s">
        <v>73</v>
      </c>
      <c r="B24" s="14"/>
      <c r="C24" s="14"/>
      <c r="D24" s="14"/>
      <c r="E24" s="14"/>
      <c r="F24" s="14"/>
      <c r="G24" s="14"/>
      <c r="H24" s="14"/>
    </row>
    <row r="25" spans="1:21" s="11" customFormat="1" ht="12.75" customHeight="1" x14ac:dyDescent="0.3">
      <c r="A25" s="28" t="s">
        <v>74</v>
      </c>
      <c r="B25" s="14"/>
      <c r="C25" s="14"/>
      <c r="D25" s="14"/>
      <c r="E25" s="14"/>
      <c r="F25" s="14"/>
      <c r="G25" s="14"/>
      <c r="H25" s="14"/>
    </row>
    <row r="26" spans="1:21" s="11" customFormat="1" ht="12.75" customHeight="1" x14ac:dyDescent="0.3">
      <c r="A26" s="28" t="s">
        <v>14</v>
      </c>
      <c r="B26" s="14"/>
      <c r="C26" s="14"/>
      <c r="D26" s="14"/>
      <c r="E26" s="14"/>
      <c r="F26" s="14"/>
      <c r="G26" s="14"/>
      <c r="H26" s="14"/>
    </row>
    <row r="27" spans="1:21" s="11" customFormat="1" ht="12.75" customHeight="1" x14ac:dyDescent="0.25">
      <c r="A27" s="14" t="s">
        <v>60</v>
      </c>
      <c r="B27" s="13"/>
    </row>
    <row r="28" spans="1:21" s="11" customFormat="1" ht="12.75" customHeight="1" x14ac:dyDescent="0.25">
      <c r="A28" s="14" t="s">
        <v>61</v>
      </c>
      <c r="B28" s="13"/>
    </row>
    <row r="29" spans="1:21" s="11" customFormat="1" ht="12.75" customHeight="1" x14ac:dyDescent="0.25">
      <c r="A29" s="14" t="s">
        <v>62</v>
      </c>
      <c r="B29" s="13"/>
    </row>
    <row r="30" spans="1:21" s="11" customFormat="1" ht="12.75" customHeight="1" x14ac:dyDescent="0.25">
      <c r="A30" s="14" t="s">
        <v>63</v>
      </c>
      <c r="B30" s="13"/>
    </row>
    <row r="31" spans="1:21" s="11" customFormat="1" ht="12.75" customHeight="1" x14ac:dyDescent="0.25">
      <c r="A31" s="14" t="s">
        <v>64</v>
      </c>
      <c r="B31" s="13"/>
    </row>
    <row r="32" spans="1:21" s="11" customFormat="1" ht="12.75" customHeight="1" x14ac:dyDescent="0.25">
      <c r="A32" s="14" t="s">
        <v>71</v>
      </c>
      <c r="B32" s="13"/>
    </row>
    <row r="33" spans="1:21" s="11" customFormat="1" ht="12.75" customHeight="1" x14ac:dyDescent="0.25">
      <c r="A33" s="14" t="s">
        <v>12</v>
      </c>
      <c r="B33" s="13"/>
    </row>
    <row r="34" spans="1:21" s="11" customFormat="1" ht="12.75" customHeight="1" x14ac:dyDescent="0.25">
      <c r="A34" s="14" t="s">
        <v>15</v>
      </c>
      <c r="B34" s="13"/>
    </row>
    <row r="35" spans="1:21" s="11" customFormat="1" ht="12.75" customHeight="1" x14ac:dyDescent="0.25">
      <c r="A35" s="14" t="s">
        <v>65</v>
      </c>
      <c r="B35" s="13"/>
    </row>
    <row r="36" spans="1:21" s="11" customFormat="1" ht="12.75" customHeight="1" x14ac:dyDescent="0.25">
      <c r="A36" s="14" t="s">
        <v>66</v>
      </c>
      <c r="B36" s="13"/>
    </row>
    <row r="37" spans="1:21" s="11" customFormat="1" ht="12.75" customHeight="1" x14ac:dyDescent="0.25">
      <c r="A37" s="14" t="s">
        <v>87</v>
      </c>
      <c r="B37" s="13"/>
    </row>
    <row r="38" spans="1:21" s="11" customFormat="1" ht="12.75" customHeight="1" x14ac:dyDescent="0.25">
      <c r="A38" s="14" t="s">
        <v>86</v>
      </c>
      <c r="B38" s="13"/>
    </row>
    <row r="39" spans="1:21" s="11" customFormat="1" ht="12.75" customHeight="1" x14ac:dyDescent="0.25">
      <c r="A39" s="14" t="s">
        <v>13</v>
      </c>
      <c r="B39" s="13"/>
    </row>
    <row r="40" spans="1:21" ht="14.25" x14ac:dyDescent="0.2">
      <c r="A40" s="14" t="s">
        <v>28</v>
      </c>
      <c r="B40" s="13"/>
      <c r="C40" s="11"/>
      <c r="D40" s="11"/>
      <c r="E40" s="11"/>
      <c r="F40" s="11"/>
      <c r="G40" s="11"/>
      <c r="H40" s="11"/>
      <c r="T40" s="11"/>
      <c r="U40" s="11"/>
    </row>
    <row r="41" spans="1:21" ht="14.25" x14ac:dyDescent="0.2">
      <c r="A41" s="14" t="s">
        <v>29</v>
      </c>
      <c r="B41" s="13"/>
      <c r="C41" s="11"/>
      <c r="D41" s="11"/>
      <c r="E41" s="11"/>
      <c r="F41" s="11"/>
      <c r="G41" s="11"/>
      <c r="H41" s="11"/>
      <c r="T41" s="11"/>
      <c r="U41" s="11"/>
    </row>
    <row r="42" spans="1:21" ht="14.25" x14ac:dyDescent="0.2">
      <c r="A42" s="14" t="s">
        <v>67</v>
      </c>
      <c r="B42" s="13"/>
      <c r="C42" s="11"/>
      <c r="D42" s="11"/>
      <c r="E42" s="11"/>
      <c r="F42" s="11"/>
      <c r="G42" s="11"/>
      <c r="H42" s="11"/>
      <c r="T42" s="11"/>
      <c r="U42" s="11"/>
    </row>
    <row r="43" spans="1:21" ht="14.25" x14ac:dyDescent="0.2">
      <c r="A43" s="14" t="s">
        <v>68</v>
      </c>
      <c r="B43" s="13"/>
      <c r="C43" s="11"/>
      <c r="D43" s="11"/>
      <c r="E43" s="11"/>
      <c r="F43" s="11"/>
      <c r="G43" s="11"/>
      <c r="H43" s="11"/>
      <c r="T43" s="11"/>
      <c r="U43" s="11"/>
    </row>
    <row r="44" spans="1:21" ht="14.25" x14ac:dyDescent="0.2">
      <c r="A44" s="14" t="s">
        <v>69</v>
      </c>
      <c r="B44" s="13"/>
      <c r="C44" s="11"/>
      <c r="D44" s="11"/>
      <c r="E44" s="11"/>
      <c r="F44" s="11"/>
      <c r="G44" s="11"/>
      <c r="H44" s="11"/>
      <c r="T44" s="11"/>
      <c r="U44" s="11"/>
    </row>
    <row r="45" spans="1:21" ht="14.25" x14ac:dyDescent="0.2">
      <c r="A45" s="14" t="s">
        <v>16</v>
      </c>
      <c r="B45" s="13"/>
      <c r="C45" s="11"/>
      <c r="D45" s="11"/>
      <c r="E45" s="11"/>
      <c r="F45" s="11"/>
      <c r="G45" s="11"/>
      <c r="H45" s="11"/>
      <c r="T45" s="11"/>
      <c r="U45" s="11"/>
    </row>
    <row r="46" spans="1:21" ht="14.25" x14ac:dyDescent="0.2">
      <c r="A46" s="14" t="s">
        <v>13</v>
      </c>
      <c r="B46" s="13"/>
      <c r="C46" s="11"/>
      <c r="D46" s="11"/>
      <c r="E46" s="11"/>
      <c r="F46" s="11"/>
      <c r="G46" s="11"/>
      <c r="H46" s="11"/>
      <c r="T46" s="11"/>
      <c r="U46" s="11"/>
    </row>
    <row r="47" spans="1:21" ht="14.25" x14ac:dyDescent="0.2">
      <c r="A47" s="14" t="s">
        <v>17</v>
      </c>
      <c r="B47" s="13"/>
      <c r="C47" s="11"/>
      <c r="D47" s="11"/>
      <c r="E47" s="11"/>
      <c r="F47" s="11"/>
      <c r="G47" s="11"/>
      <c r="H47" s="11"/>
      <c r="T47" s="11"/>
      <c r="U47" s="11"/>
    </row>
    <row r="48" spans="1:21" ht="14.25" x14ac:dyDescent="0.2">
      <c r="A48" s="14" t="s">
        <v>18</v>
      </c>
      <c r="B48" s="13"/>
      <c r="C48" s="11"/>
      <c r="D48" s="11"/>
      <c r="E48" s="11"/>
      <c r="F48" s="11"/>
      <c r="G48" s="11"/>
      <c r="H48" s="11"/>
      <c r="T48" s="11"/>
      <c r="U48" s="11"/>
    </row>
    <row r="49" spans="1:21" ht="14.25" x14ac:dyDescent="0.2">
      <c r="A49" s="14" t="s">
        <v>19</v>
      </c>
      <c r="B49" s="13"/>
      <c r="C49" s="11"/>
      <c r="D49" s="11"/>
      <c r="E49" s="11"/>
      <c r="F49" s="11"/>
      <c r="G49" s="11"/>
      <c r="H49" s="11"/>
      <c r="T49" s="11"/>
      <c r="U49" s="11"/>
    </row>
    <row r="50" spans="1:21" ht="14.25" x14ac:dyDescent="0.2">
      <c r="A50" s="14" t="s">
        <v>20</v>
      </c>
      <c r="B50" s="13"/>
      <c r="C50" s="11"/>
      <c r="D50" s="11"/>
      <c r="E50" s="11"/>
      <c r="F50" s="11"/>
      <c r="G50" s="11"/>
      <c r="H50" s="11"/>
      <c r="T50" s="11"/>
      <c r="U50" s="11"/>
    </row>
    <row r="51" spans="1:21" ht="14.25" x14ac:dyDescent="0.2">
      <c r="A51" s="14" t="s">
        <v>21</v>
      </c>
      <c r="B51" s="13"/>
      <c r="C51" s="11"/>
      <c r="D51" s="11"/>
      <c r="E51" s="11"/>
      <c r="F51" s="11"/>
      <c r="G51" s="11"/>
      <c r="H51" s="11"/>
      <c r="T51" s="11"/>
      <c r="U51" s="11"/>
    </row>
    <row r="52" spans="1:21" ht="14.25" x14ac:dyDescent="0.2">
      <c r="A52" s="14" t="s">
        <v>22</v>
      </c>
      <c r="B52" s="13"/>
      <c r="C52" s="11"/>
      <c r="D52" s="11"/>
      <c r="E52" s="11"/>
      <c r="F52" s="11"/>
      <c r="G52" s="11"/>
      <c r="H52" s="11"/>
      <c r="T52" s="11"/>
      <c r="U52" s="11"/>
    </row>
    <row r="53" spans="1:21" ht="14.25" x14ac:dyDescent="0.2">
      <c r="A53" s="14" t="s">
        <v>23</v>
      </c>
      <c r="B53" s="13"/>
      <c r="C53" s="11"/>
      <c r="D53" s="11"/>
      <c r="E53" s="11"/>
      <c r="T53" s="11"/>
      <c r="U53" s="11"/>
    </row>
    <row r="54" spans="1:21" ht="14.25" x14ac:dyDescent="0.2">
      <c r="A54" s="14" t="s">
        <v>24</v>
      </c>
      <c r="B54" s="13"/>
      <c r="C54" s="11"/>
      <c r="D54" s="11"/>
      <c r="E54" s="11"/>
      <c r="T54" s="11"/>
      <c r="U54" s="11"/>
    </row>
    <row r="55" spans="1:21" ht="14.25" x14ac:dyDescent="0.2">
      <c r="A55" s="14" t="s">
        <v>25</v>
      </c>
      <c r="B55" s="13"/>
      <c r="C55" s="11"/>
      <c r="D55" s="11"/>
      <c r="E55" s="11"/>
      <c r="T55" s="11"/>
      <c r="U55" s="11"/>
    </row>
    <row r="56" spans="1:21" ht="14.25" x14ac:dyDescent="0.2">
      <c r="A56" s="14" t="s">
        <v>26</v>
      </c>
      <c r="B56" s="13"/>
      <c r="C56" s="11"/>
      <c r="D56" s="11"/>
      <c r="E56" s="11"/>
      <c r="T56" s="11"/>
      <c r="U56" s="11"/>
    </row>
    <row r="57" spans="1:21" ht="14.25" x14ac:dyDescent="0.2">
      <c r="A57" s="14" t="s">
        <v>70</v>
      </c>
      <c r="B57" s="13"/>
      <c r="C57" s="11"/>
      <c r="D57" s="11"/>
      <c r="E57" s="11"/>
      <c r="O57" s="14"/>
      <c r="P57" s="13"/>
      <c r="Q57" s="11"/>
      <c r="R57" s="11"/>
      <c r="S57" s="11"/>
      <c r="T57" s="11"/>
      <c r="U57" s="11"/>
    </row>
    <row r="58" spans="1:21" ht="14.25" x14ac:dyDescent="0.2">
      <c r="A58" s="14" t="s">
        <v>3</v>
      </c>
      <c r="B58" s="13"/>
      <c r="C58" s="11"/>
      <c r="D58" s="11"/>
      <c r="E58" s="11"/>
      <c r="O58" s="14"/>
      <c r="P58" s="13"/>
      <c r="Q58" s="11"/>
      <c r="R58" s="11"/>
      <c r="S58" s="11"/>
      <c r="T58" s="11"/>
      <c r="U58" s="11"/>
    </row>
    <row r="59" spans="1:21" ht="14.25" x14ac:dyDescent="0.2">
      <c r="A59" s="19"/>
      <c r="B59" s="29"/>
      <c r="C59" s="14"/>
      <c r="D59" s="14"/>
      <c r="O59" s="14"/>
      <c r="P59" s="13"/>
      <c r="Q59" s="11"/>
      <c r="R59" s="11"/>
      <c r="S59" s="11"/>
      <c r="T59" s="11"/>
      <c r="U59" s="11"/>
    </row>
    <row r="60" spans="1:21" ht="14.25" x14ac:dyDescent="0.2">
      <c r="A60" s="20" t="s">
        <v>37</v>
      </c>
      <c r="B60" s="9"/>
      <c r="O60" s="14"/>
      <c r="P60" s="13"/>
      <c r="Q60" s="11"/>
      <c r="R60" s="11"/>
      <c r="S60" s="11"/>
      <c r="T60" s="11"/>
      <c r="U60" s="11"/>
    </row>
    <row r="61" spans="1:21" ht="14.25" x14ac:dyDescent="0.2">
      <c r="A61" s="21" t="s">
        <v>4</v>
      </c>
      <c r="B61" s="21" t="s">
        <v>30</v>
      </c>
      <c r="C61" s="21" t="s">
        <v>1</v>
      </c>
      <c r="D61" s="21" t="s">
        <v>2</v>
      </c>
      <c r="E61" s="21" t="s">
        <v>5</v>
      </c>
      <c r="F61" s="21" t="s">
        <v>6</v>
      </c>
      <c r="G61" s="21" t="s">
        <v>32</v>
      </c>
      <c r="H61" s="21" t="s">
        <v>8</v>
      </c>
      <c r="O61" s="14"/>
      <c r="P61" s="13"/>
      <c r="Q61" s="11"/>
      <c r="R61" s="11"/>
      <c r="S61" s="11"/>
      <c r="T61" s="11"/>
      <c r="U61" s="11"/>
    </row>
    <row r="62" spans="1:21" ht="14.25" x14ac:dyDescent="0.2">
      <c r="A62" s="2" t="s">
        <v>58</v>
      </c>
      <c r="B62" s="2">
        <v>100</v>
      </c>
      <c r="C62" s="4">
        <v>820</v>
      </c>
      <c r="D62" s="4">
        <v>857.32013229646702</v>
      </c>
      <c r="E62" s="3">
        <f>D62/C62-1</f>
        <v>4.5512356459106229E-2</v>
      </c>
      <c r="F62" s="7">
        <f>2.29/1000</f>
        <v>2.2899999999999999E-3</v>
      </c>
      <c r="G62" s="1">
        <v>2000</v>
      </c>
      <c r="H62" s="8">
        <f>F62 * G62</f>
        <v>4.58</v>
      </c>
      <c r="O62" s="14"/>
      <c r="P62" s="13"/>
      <c r="Q62" s="11"/>
      <c r="R62" s="11"/>
      <c r="S62" s="11"/>
      <c r="T62" s="11"/>
      <c r="U62" s="11"/>
    </row>
    <row r="63" spans="1:21" ht="14.25" x14ac:dyDescent="0.2">
      <c r="A63" s="1" t="s">
        <v>57</v>
      </c>
      <c r="B63" s="1">
        <v>150</v>
      </c>
      <c r="C63" s="4">
        <v>3055.23</v>
      </c>
      <c r="D63" s="6">
        <v>3458.5418803481598</v>
      </c>
      <c r="E63" s="3">
        <f>D63/C63-1</f>
        <v>0.13200704377351613</v>
      </c>
      <c r="F63" s="5">
        <f>5.2/1000</f>
        <v>5.1999999999999998E-3</v>
      </c>
      <c r="G63" s="1">
        <v>2000</v>
      </c>
      <c r="H63" s="8">
        <f t="shared" ref="H63:H66" si="0">F63 * G63</f>
        <v>10.4</v>
      </c>
      <c r="O63" s="14"/>
      <c r="P63" s="13"/>
      <c r="Q63" s="11"/>
      <c r="R63" s="11"/>
      <c r="S63" s="11"/>
      <c r="T63" s="11"/>
      <c r="U63" s="11"/>
    </row>
    <row r="64" spans="1:21" ht="14.25" x14ac:dyDescent="0.2">
      <c r="A64" s="2" t="s">
        <v>56</v>
      </c>
      <c r="B64" s="2">
        <v>200</v>
      </c>
      <c r="C64" s="4">
        <v>1395.85</v>
      </c>
      <c r="D64" s="4">
        <v>1340.8187396820399</v>
      </c>
      <c r="E64" s="3">
        <f>D64/C64-1</f>
        <v>-3.9424909781108242E-2</v>
      </c>
      <c r="F64" s="5">
        <f>6.8/1000</f>
        <v>6.7999999999999996E-3</v>
      </c>
      <c r="G64" s="1">
        <v>2000</v>
      </c>
      <c r="H64" s="8">
        <f t="shared" si="0"/>
        <v>13.6</v>
      </c>
      <c r="O64" s="14"/>
      <c r="P64" s="13"/>
      <c r="Q64" s="11"/>
      <c r="R64" s="11"/>
      <c r="S64" s="11"/>
      <c r="T64" s="11"/>
      <c r="U64" s="11"/>
    </row>
    <row r="65" spans="1:21" ht="14.25" x14ac:dyDescent="0.2">
      <c r="A65" s="1" t="s">
        <v>59</v>
      </c>
      <c r="B65" s="1">
        <v>250</v>
      </c>
      <c r="C65" s="4">
        <v>38684</v>
      </c>
      <c r="D65" s="4">
        <v>42198.859919729897</v>
      </c>
      <c r="E65" s="3">
        <f>D65/C65-1</f>
        <v>9.0860818936250087E-2</v>
      </c>
      <c r="F65" s="5">
        <f>10.04/1000</f>
        <v>1.0039999999999999E-2</v>
      </c>
      <c r="G65" s="1">
        <v>3000</v>
      </c>
      <c r="H65" s="8">
        <f t="shared" si="0"/>
        <v>30.119999999999997</v>
      </c>
      <c r="O65" s="14"/>
      <c r="P65" s="13"/>
      <c r="Q65" s="11"/>
      <c r="R65" s="11"/>
      <c r="S65" s="11"/>
      <c r="T65" s="11"/>
      <c r="U65" s="11"/>
    </row>
    <row r="66" spans="1:21" ht="14.25" x14ac:dyDescent="0.2">
      <c r="A66" s="1" t="s">
        <v>76</v>
      </c>
      <c r="B66" s="9">
        <v>302</v>
      </c>
      <c r="C66" s="27">
        <v>21736</v>
      </c>
      <c r="D66" s="6">
        <v>22888.403861594299</v>
      </c>
      <c r="E66" s="3">
        <f>D66/C66-1</f>
        <v>5.3018212255902641E-2</v>
      </c>
      <c r="F66" s="5">
        <f>12.96/1000</f>
        <v>1.2960000000000001E-2</v>
      </c>
      <c r="G66" s="1">
        <v>4000</v>
      </c>
      <c r="H66" s="1">
        <f t="shared" si="0"/>
        <v>51.84</v>
      </c>
      <c r="O66" s="14"/>
      <c r="P66" s="13"/>
      <c r="Q66" s="11"/>
      <c r="R66" s="11"/>
      <c r="S66" s="11"/>
      <c r="T66" s="11"/>
      <c r="U66" s="11"/>
    </row>
    <row r="67" spans="1:21" ht="14.25" x14ac:dyDescent="0.2">
      <c r="B67" s="9"/>
      <c r="O67" s="14"/>
      <c r="P67" s="13"/>
      <c r="Q67" s="11"/>
      <c r="R67" s="11"/>
      <c r="S67" s="11"/>
      <c r="T67" s="11"/>
      <c r="U67" s="11"/>
    </row>
    <row r="68" spans="1:21" ht="14.25" x14ac:dyDescent="0.2">
      <c r="B68" s="9"/>
      <c r="O68" s="14"/>
      <c r="P68" s="13"/>
      <c r="Q68" s="11"/>
      <c r="R68" s="11"/>
      <c r="S68" s="11"/>
      <c r="T68" s="11"/>
      <c r="U68" s="11"/>
    </row>
    <row r="69" spans="1:21" ht="14.25" x14ac:dyDescent="0.2">
      <c r="B69" s="9"/>
      <c r="O69" s="14"/>
      <c r="P69" s="13"/>
      <c r="Q69" s="11"/>
      <c r="R69" s="11"/>
      <c r="S69" s="11"/>
      <c r="T69" s="11"/>
      <c r="U69" s="11"/>
    </row>
    <row r="70" spans="1:21" ht="14.25" x14ac:dyDescent="0.2">
      <c r="B70" s="9"/>
      <c r="O70" s="14"/>
      <c r="P70" s="13"/>
      <c r="Q70" s="11"/>
      <c r="R70" s="11"/>
      <c r="S70" s="11"/>
      <c r="T70" s="11"/>
      <c r="U70" s="11"/>
    </row>
    <row r="71" spans="1:21" ht="14.25" x14ac:dyDescent="0.2">
      <c r="B71" s="9"/>
      <c r="O71" s="14"/>
      <c r="P71" s="13"/>
      <c r="Q71" s="11"/>
      <c r="R71" s="11"/>
      <c r="S71" s="11"/>
      <c r="T71" s="11"/>
      <c r="U71" s="11"/>
    </row>
    <row r="72" spans="1:21" ht="14.25" x14ac:dyDescent="0.2">
      <c r="B72" s="9"/>
      <c r="O72" s="14"/>
      <c r="P72" s="13"/>
      <c r="Q72" s="11"/>
      <c r="R72" s="11"/>
      <c r="S72" s="11"/>
      <c r="T72" s="11"/>
      <c r="U72" s="11"/>
    </row>
    <row r="73" spans="1:21" ht="14.25" x14ac:dyDescent="0.2">
      <c r="B73" s="9"/>
      <c r="O73" s="14"/>
      <c r="P73" s="13"/>
      <c r="Q73" s="11"/>
      <c r="R73" s="11"/>
      <c r="S73" s="11"/>
      <c r="T73" s="11"/>
      <c r="U73" s="11"/>
    </row>
    <row r="74" spans="1:21" ht="14.25" x14ac:dyDescent="0.2">
      <c r="B74" s="9"/>
      <c r="O74" s="14"/>
      <c r="P74" s="13"/>
      <c r="Q74" s="11"/>
      <c r="R74" s="11"/>
      <c r="S74" s="11"/>
      <c r="T74" s="11"/>
      <c r="U74" s="11"/>
    </row>
    <row r="75" spans="1:21" ht="14.25" x14ac:dyDescent="0.2">
      <c r="B75" s="9"/>
      <c r="O75" s="14"/>
      <c r="P75" s="13"/>
      <c r="Q75" s="11"/>
      <c r="R75" s="11"/>
      <c r="S75" s="11"/>
      <c r="T75" s="11"/>
      <c r="U75" s="11"/>
    </row>
    <row r="76" spans="1:21" x14ac:dyDescent="0.2">
      <c r="B76" s="9"/>
    </row>
    <row r="77" spans="1:21" x14ac:dyDescent="0.2">
      <c r="B77" s="9"/>
    </row>
    <row r="78" spans="1:21" x14ac:dyDescent="0.2">
      <c r="B78" s="9"/>
    </row>
    <row r="79" spans="1:21" x14ac:dyDescent="0.2">
      <c r="B79" s="9"/>
    </row>
    <row r="80" spans="1:21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  <row r="201" spans="2:2" x14ac:dyDescent="0.2">
      <c r="B201" s="9"/>
    </row>
    <row r="202" spans="2:2" x14ac:dyDescent="0.2">
      <c r="B202" s="9"/>
    </row>
    <row r="203" spans="2:2" x14ac:dyDescent="0.2">
      <c r="B203" s="9"/>
    </row>
    <row r="204" spans="2:2" x14ac:dyDescent="0.2">
      <c r="B204" s="9"/>
    </row>
    <row r="205" spans="2:2" x14ac:dyDescent="0.2">
      <c r="B205" s="9"/>
    </row>
    <row r="206" spans="2:2" x14ac:dyDescent="0.2">
      <c r="B206" s="9"/>
    </row>
    <row r="207" spans="2:2" x14ac:dyDescent="0.2">
      <c r="B207" s="9"/>
    </row>
    <row r="208" spans="2:2" x14ac:dyDescent="0.2">
      <c r="B208" s="9"/>
    </row>
    <row r="209" spans="2:2" x14ac:dyDescent="0.2">
      <c r="B209" s="9"/>
    </row>
    <row r="210" spans="2:2" x14ac:dyDescent="0.2">
      <c r="B210" s="9"/>
    </row>
    <row r="211" spans="2:2" x14ac:dyDescent="0.2">
      <c r="B211" s="9"/>
    </row>
    <row r="212" spans="2:2" x14ac:dyDescent="0.2">
      <c r="B212" s="9"/>
    </row>
    <row r="213" spans="2:2" x14ac:dyDescent="0.2">
      <c r="B213" s="9"/>
    </row>
    <row r="214" spans="2:2" x14ac:dyDescent="0.2">
      <c r="B214" s="9"/>
    </row>
    <row r="215" spans="2:2" x14ac:dyDescent="0.2">
      <c r="B215" s="9"/>
    </row>
    <row r="216" spans="2:2" x14ac:dyDescent="0.2">
      <c r="B216" s="9"/>
    </row>
    <row r="217" spans="2:2" x14ac:dyDescent="0.2">
      <c r="B217" s="9"/>
    </row>
    <row r="218" spans="2:2" x14ac:dyDescent="0.2">
      <c r="B218" s="9"/>
    </row>
    <row r="219" spans="2:2" x14ac:dyDescent="0.2">
      <c r="B219" s="9"/>
    </row>
    <row r="220" spans="2:2" x14ac:dyDescent="0.2">
      <c r="B220" s="9"/>
    </row>
    <row r="221" spans="2:2" x14ac:dyDescent="0.2">
      <c r="B221" s="9"/>
    </row>
    <row r="222" spans="2:2" x14ac:dyDescent="0.2">
      <c r="B222" s="9"/>
    </row>
    <row r="223" spans="2:2" x14ac:dyDescent="0.2">
      <c r="B223" s="9"/>
    </row>
    <row r="224" spans="2:2" x14ac:dyDescent="0.2">
      <c r="B224" s="9"/>
    </row>
    <row r="225" spans="2:2" x14ac:dyDescent="0.2">
      <c r="B225" s="9"/>
    </row>
    <row r="226" spans="2:2" x14ac:dyDescent="0.2">
      <c r="B226" s="9"/>
    </row>
    <row r="227" spans="2:2" x14ac:dyDescent="0.2">
      <c r="B227" s="9"/>
    </row>
    <row r="228" spans="2:2" x14ac:dyDescent="0.2">
      <c r="B228" s="9"/>
    </row>
    <row r="229" spans="2:2" x14ac:dyDescent="0.2">
      <c r="B229" s="9"/>
    </row>
    <row r="230" spans="2:2" x14ac:dyDescent="0.2">
      <c r="B230" s="9"/>
    </row>
    <row r="231" spans="2:2" x14ac:dyDescent="0.2">
      <c r="B231" s="9"/>
    </row>
    <row r="232" spans="2:2" x14ac:dyDescent="0.2">
      <c r="B232" s="9"/>
    </row>
    <row r="233" spans="2:2" x14ac:dyDescent="0.2">
      <c r="B233" s="9"/>
    </row>
    <row r="234" spans="2:2" x14ac:dyDescent="0.2">
      <c r="B234" s="9"/>
    </row>
    <row r="235" spans="2:2" x14ac:dyDescent="0.2">
      <c r="B235" s="9"/>
    </row>
    <row r="236" spans="2:2" x14ac:dyDescent="0.2">
      <c r="B236" s="9"/>
    </row>
    <row r="237" spans="2:2" x14ac:dyDescent="0.2">
      <c r="B237" s="9"/>
    </row>
    <row r="238" spans="2:2" x14ac:dyDescent="0.2">
      <c r="B238" s="9"/>
    </row>
    <row r="239" spans="2:2" x14ac:dyDescent="0.2">
      <c r="B239" s="9"/>
    </row>
    <row r="240" spans="2:2" x14ac:dyDescent="0.2">
      <c r="B240" s="9"/>
    </row>
    <row r="241" spans="2:2" x14ac:dyDescent="0.2">
      <c r="B241" s="9"/>
    </row>
    <row r="242" spans="2:2" x14ac:dyDescent="0.2">
      <c r="B242" s="9"/>
    </row>
    <row r="243" spans="2:2" x14ac:dyDescent="0.2">
      <c r="B243" s="9"/>
    </row>
    <row r="244" spans="2:2" x14ac:dyDescent="0.2">
      <c r="B244" s="9"/>
    </row>
    <row r="245" spans="2:2" x14ac:dyDescent="0.2">
      <c r="B245" s="9"/>
    </row>
    <row r="246" spans="2:2" x14ac:dyDescent="0.2">
      <c r="B246" s="9"/>
    </row>
    <row r="247" spans="2:2" x14ac:dyDescent="0.2">
      <c r="B247" s="9"/>
    </row>
    <row r="248" spans="2:2" x14ac:dyDescent="0.2">
      <c r="B248" s="9"/>
    </row>
    <row r="249" spans="2:2" x14ac:dyDescent="0.2">
      <c r="B249" s="9"/>
    </row>
    <row r="250" spans="2:2" x14ac:dyDescent="0.2">
      <c r="B250" s="9"/>
    </row>
    <row r="251" spans="2:2" x14ac:dyDescent="0.2">
      <c r="B251" s="9"/>
    </row>
    <row r="252" spans="2:2" x14ac:dyDescent="0.2">
      <c r="B252" s="9"/>
    </row>
    <row r="253" spans="2:2" x14ac:dyDescent="0.2">
      <c r="B253" s="9"/>
    </row>
    <row r="254" spans="2:2" x14ac:dyDescent="0.2">
      <c r="B254" s="9"/>
    </row>
    <row r="255" spans="2:2" x14ac:dyDescent="0.2">
      <c r="B255" s="9"/>
    </row>
    <row r="256" spans="2:2" x14ac:dyDescent="0.2">
      <c r="B256" s="9"/>
    </row>
    <row r="257" spans="2:2" x14ac:dyDescent="0.2">
      <c r="B257" s="9"/>
    </row>
    <row r="258" spans="2:2" x14ac:dyDescent="0.2">
      <c r="B258" s="9"/>
    </row>
    <row r="259" spans="2:2" x14ac:dyDescent="0.2">
      <c r="B259" s="9"/>
    </row>
    <row r="260" spans="2:2" x14ac:dyDescent="0.2">
      <c r="B260" s="9"/>
    </row>
    <row r="261" spans="2:2" x14ac:dyDescent="0.2">
      <c r="B261" s="9"/>
    </row>
    <row r="262" spans="2:2" x14ac:dyDescent="0.2">
      <c r="B262" s="9"/>
    </row>
    <row r="263" spans="2:2" x14ac:dyDescent="0.2">
      <c r="B263" s="9"/>
    </row>
    <row r="264" spans="2:2" x14ac:dyDescent="0.2">
      <c r="B264" s="9"/>
    </row>
    <row r="265" spans="2:2" x14ac:dyDescent="0.2">
      <c r="B265" s="9"/>
    </row>
    <row r="266" spans="2:2" x14ac:dyDescent="0.2">
      <c r="B266" s="9"/>
    </row>
    <row r="267" spans="2:2" x14ac:dyDescent="0.2">
      <c r="B267" s="9"/>
    </row>
    <row r="268" spans="2:2" x14ac:dyDescent="0.2">
      <c r="B268" s="9"/>
    </row>
    <row r="269" spans="2:2" x14ac:dyDescent="0.2">
      <c r="B269" s="9"/>
    </row>
    <row r="270" spans="2:2" x14ac:dyDescent="0.2">
      <c r="B270" s="9"/>
    </row>
    <row r="271" spans="2:2" x14ac:dyDescent="0.2">
      <c r="B271" s="9"/>
    </row>
    <row r="272" spans="2:2" x14ac:dyDescent="0.2">
      <c r="B272" s="9"/>
    </row>
    <row r="273" spans="2:2" x14ac:dyDescent="0.2">
      <c r="B273" s="9"/>
    </row>
    <row r="274" spans="2:2" x14ac:dyDescent="0.2">
      <c r="B274" s="9"/>
    </row>
    <row r="275" spans="2:2" x14ac:dyDescent="0.2">
      <c r="B275" s="9"/>
    </row>
    <row r="276" spans="2:2" x14ac:dyDescent="0.2">
      <c r="B276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TSP Benchmarking</vt:lpstr>
      <vt:lpstr>VRP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2022-08-30T17:20:28Z</dcterms:modified>
</cp:coreProperties>
</file>