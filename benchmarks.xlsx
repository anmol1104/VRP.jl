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\dev\VRP\"/>
    </mc:Choice>
  </mc:AlternateContent>
  <xr:revisionPtr revIDLastSave="0" documentId="13_ncr:1_{8C0F8E82-F678-4A91-8FCB-229676CF3EDE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69" i="1" l="1"/>
  <c r="F68" i="1"/>
  <c r="F71" i="1"/>
  <c r="F70" i="1"/>
  <c r="F67" i="1"/>
  <c r="F66" i="1"/>
  <c r="F70" i="2"/>
  <c r="F69" i="2"/>
  <c r="F68" i="2"/>
  <c r="F67" i="2"/>
  <c r="F66" i="2"/>
  <c r="H70" i="2"/>
  <c r="H69" i="2"/>
  <c r="H68" i="2"/>
  <c r="H66" i="2"/>
  <c r="H71" i="1"/>
  <c r="H69" i="1"/>
  <c r="H68" i="1"/>
  <c r="H66" i="1"/>
  <c r="H67" i="1"/>
  <c r="H70" i="1"/>
  <c r="H67" i="2"/>
  <c r="E70" i="2"/>
  <c r="E69" i="2"/>
  <c r="E68" i="2"/>
  <c r="E67" i="2"/>
  <c r="E66" i="2"/>
  <c r="E67" i="1"/>
  <c r="E68" i="1"/>
  <c r="E69" i="1"/>
  <c r="E70" i="1"/>
  <c r="E71" i="1"/>
  <c r="E66" i="1"/>
</calcChain>
</file>

<file path=xl/sharedStrings.xml><?xml version="1.0" encoding="utf-8"?>
<sst xmlns="http://schemas.openxmlformats.org/spreadsheetml/2006/main" count="163" uniqueCount="89">
  <si>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</si>
  <si>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</si>
  <si>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</si>
  <si>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</si>
  <si>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</si>
  <si>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</si>
  <si>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</si>
  <si>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</si>
  <si>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</si>
  <si>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</si>
  <si>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</si>
  <si>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</si>
  <si>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</si>
  <si>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</si>
  <si>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</si>
  <si>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</si>
  <si>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</si>
  <si>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</si>
  <si>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</si>
  <si>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</si>
  <si>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</si>
  <si>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</si>
  <si>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</si>
  <si>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</si>
  <si>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</si>
  <si>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</si>
  <si>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</si>
  <si>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</si>
  <si>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</si>
  <si>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</si>
  <si>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</si>
  <si>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</si>
  <si>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</si>
  <si>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</si>
  <si>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</si>
  <si>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</si>
  <si>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</si>
  <si>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</si>
  <si>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</si>
  <si>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</si>
  <si>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</si>
  <si>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</si>
  <si>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</si>
  <si>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</si>
  <si>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</si>
  <si>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</si>
  <si>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</si>
  <si>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</si>
  <si>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</si>
  <si>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</si>
  <si>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</si>
  <si>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</si>
  <si>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</si>
  <si>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</si>
  <si>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</si>
  <si>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</si>
  <si>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</si>
  <si>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</si>
  <si>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</si>
  <si>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</si>
  <si>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</si>
  <si>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</si>
  <si>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</si>
  <si>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</si>
  <si>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</si>
  <si>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</si>
  <si>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</si>
  <si>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</si>
  <si>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</si>
  <si>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</si>
  <si>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</si>
  <si>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</si>
  <si>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</si>
  <si>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</si>
  <si>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</si>
  <si>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</si>
  <si>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</si>
  <si>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</si>
  <si>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</si>
  <si>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</si>
  <si>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</si>
  <si>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</si>
  <si>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        𝜃   =   0.9975                 ,</t>
  </si>
  <si>
    <t>                    :intraopt!          ,</t>
  </si>
  <si>
    <t>                    :interopt!          ,</t>
  </si>
  <si>
    <t>                    :movecustomer!      ,</t>
  </si>
  <si>
    <t>                    :swapcustomers!</t>
  </si>
  <si>
    <t>MersenneTwister(1104); MersenneTwister(1234); MersenneTwister(1403); MersenneTwister(2104); MersenneTwister(2109)</t>
  </si>
  <si>
    <t>MersenneTwister(1104); MersenneTwister(1234); MersenneTwister(1403); MersenneTwister(2104); MersenneTwister(2111)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</si>
</sst>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5"/>
  <sheetViews>
    <sheetView topLeftCell="A16" workbookViewId="0">
      <selection activeCell="F71" sqref="F71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63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64</v>
      </c>
      <c r="C16" s="12" t="s">
        <v>65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2"/>
      <c r="W19" s="12"/>
      <c r="X19" s="12"/>
    </row>
    <row r="20" spans="1:24" s="9" customFormat="1" ht="12.75" customHeight="1" x14ac:dyDescent="0.35">
      <c r="A20" s="12" t="s">
        <v>74</v>
      </c>
      <c r="B20" s="12"/>
      <c r="W20" s="12"/>
      <c r="X20" s="12"/>
    </row>
    <row r="21" spans="1:24" s="9" customFormat="1" ht="12.75" customHeight="1" x14ac:dyDescent="0.35">
      <c r="A21" s="12" t="s">
        <v>75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15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83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84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85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86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7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71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77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10</v>
      </c>
      <c r="B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U55" s="12"/>
      <c r="V55" s="12"/>
      <c r="W55" s="12"/>
      <c r="X55" s="12"/>
    </row>
    <row r="56" spans="1:24" ht="14" x14ac:dyDescent="0.3">
      <c r="A56" s="12" t="s">
        <v>82</v>
      </c>
      <c r="B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U60" s="12"/>
      <c r="V60" s="12"/>
      <c r="W60" s="12"/>
      <c r="X60" s="12"/>
    </row>
    <row r="61" spans="1:24" ht="14" x14ac:dyDescent="0.3">
      <c r="A61" s="12" t="s">
        <v>61</v>
      </c>
      <c r="U61" s="12"/>
      <c r="V61" s="12"/>
    </row>
    <row r="62" spans="1:24" ht="14" x14ac:dyDescent="0.3">
      <c r="A62" s="12" t="s">
        <v>45</v>
      </c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66</v>
      </c>
      <c r="B66" s="2">
        <v>100</v>
      </c>
      <c r="C66" s="25">
        <v>820</v>
      </c>
      <c r="D66" s="25">
        <v>819.55754418738104</v>
      </c>
      <c r="E66" s="3">
        <f>D66/C66-1</f>
        <v>-5.3958025929146114E-4</v>
      </c>
      <c r="F66" s="5">
        <f>3.41/1000</f>
        <v>3.4100000000000003E-3</v>
      </c>
      <c r="G66" s="1">
        <v>5000</v>
      </c>
      <c r="H66" s="6">
        <f>F66 * G66</f>
        <v>17.05</v>
      </c>
    </row>
    <row r="67" spans="1:8" x14ac:dyDescent="0.3">
      <c r="A67" s="1" t="s">
        <v>67</v>
      </c>
      <c r="B67" s="1">
        <v>150</v>
      </c>
      <c r="C67" s="25">
        <v>3055.23</v>
      </c>
      <c r="D67" s="26">
        <v>3104.6502215696901</v>
      </c>
      <c r="E67" s="3">
        <f>D67/C67-1</f>
        <v>1.6175614133695282E-2</v>
      </c>
      <c r="F67" s="4">
        <f>8.96/1000</f>
        <v>8.9600000000000009E-3</v>
      </c>
      <c r="G67" s="1">
        <v>5000</v>
      </c>
      <c r="H67" s="6">
        <f t="shared" ref="H67:H70" si="0">F67 * G67</f>
        <v>44.800000000000004</v>
      </c>
    </row>
    <row r="68" spans="1:8" x14ac:dyDescent="0.3">
      <c r="A68" s="2" t="s">
        <v>68</v>
      </c>
      <c r="B68" s="2">
        <v>200</v>
      </c>
      <c r="C68" s="25">
        <v>1395.85</v>
      </c>
      <c r="D68" s="25">
        <v>1326.80755286926</v>
      </c>
      <c r="E68" s="3">
        <f>D68/C68-1</f>
        <v>-4.9462655106737752E-2</v>
      </c>
      <c r="F68" s="4">
        <f>12.13/1000</f>
        <v>1.213E-2</v>
      </c>
      <c r="G68" s="1">
        <v>5000</v>
      </c>
      <c r="H68" s="6">
        <f t="shared" si="0"/>
        <v>60.65</v>
      </c>
    </row>
    <row r="69" spans="1:8" x14ac:dyDescent="0.3">
      <c r="A69" s="1" t="s">
        <v>69</v>
      </c>
      <c r="B69" s="1">
        <v>250</v>
      </c>
      <c r="C69" s="25">
        <v>38684</v>
      </c>
      <c r="D69" s="25">
        <v>40802.580041417299</v>
      </c>
      <c r="E69" s="3">
        <f>D69/C69-1</f>
        <v>5.4766312724053856E-2</v>
      </c>
      <c r="F69" s="4">
        <f>17.95/1000</f>
        <v>1.7950000000000001E-2</v>
      </c>
      <c r="G69" s="1">
        <v>5000</v>
      </c>
      <c r="H69" s="6">
        <f t="shared" si="0"/>
        <v>89.75</v>
      </c>
    </row>
    <row r="70" spans="1:8" x14ac:dyDescent="0.3">
      <c r="A70" s="1" t="s">
        <v>70</v>
      </c>
      <c r="B70" s="7">
        <v>302</v>
      </c>
      <c r="C70" s="27">
        <v>21736</v>
      </c>
      <c r="D70" s="26">
        <v>22782.558751227101</v>
      </c>
      <c r="E70" s="3">
        <f>D70/C70-1</f>
        <v>4.8148635960024944E-2</v>
      </c>
      <c r="F70" s="4">
        <f>23.75/1000</f>
        <v>2.375E-2</v>
      </c>
      <c r="G70" s="1">
        <v>5000</v>
      </c>
      <c r="H70" s="1">
        <f t="shared" si="0"/>
        <v>118.75</v>
      </c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1"/>
  <sheetViews>
    <sheetView tabSelected="1" topLeftCell="A16" zoomScaleNormal="100" workbookViewId="0">
      <selection activeCell="F70" sqref="F70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62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20</v>
      </c>
    </row>
    <row r="4" spans="1:6" x14ac:dyDescent="0.3">
      <c r="A4" s="1" t="s">
        <v>21</v>
      </c>
      <c r="B4" s="13"/>
      <c r="C4" s="1" t="s">
        <v>22</v>
      </c>
      <c r="D4" s="2"/>
      <c r="E4" s="2"/>
      <c r="F4" s="2"/>
    </row>
    <row r="5" spans="1:6" x14ac:dyDescent="0.3">
      <c r="A5" s="1" t="s">
        <v>23</v>
      </c>
      <c r="B5" s="13"/>
      <c r="C5" s="1" t="s">
        <v>26</v>
      </c>
      <c r="D5" s="2"/>
      <c r="E5" s="2"/>
      <c r="F5" s="2"/>
    </row>
    <row r="6" spans="1:6" s="9" customFormat="1" ht="12.75" customHeight="1" x14ac:dyDescent="0.35">
      <c r="A6" s="9" t="s">
        <v>24</v>
      </c>
      <c r="C6" s="9" t="s">
        <v>25</v>
      </c>
    </row>
    <row r="7" spans="1:6" s="9" customFormat="1" ht="12.75" customHeight="1" x14ac:dyDescent="0.35"/>
    <row r="8" spans="1:6" s="9" customFormat="1" ht="12.75" customHeight="1" x14ac:dyDescent="0.35">
      <c r="A8" s="23" t="s">
        <v>31</v>
      </c>
    </row>
    <row r="9" spans="1:6" s="9" customFormat="1" ht="12.75" customHeight="1" x14ac:dyDescent="0.3">
      <c r="A9" s="1" t="s">
        <v>27</v>
      </c>
      <c r="B9" s="1"/>
      <c r="C9" s="1" t="s">
        <v>28</v>
      </c>
      <c r="D9" s="1"/>
    </row>
    <row r="10" spans="1:6" s="9" customFormat="1" ht="12.75" customHeight="1" x14ac:dyDescent="0.3">
      <c r="A10" s="1" t="s">
        <v>29</v>
      </c>
      <c r="B10" s="1"/>
      <c r="C10" s="1" t="s">
        <v>30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36</v>
      </c>
      <c r="B12" s="1"/>
      <c r="C12" s="1"/>
      <c r="D12" s="1"/>
    </row>
    <row r="13" spans="1:6" s="9" customFormat="1" ht="12.75" customHeight="1" x14ac:dyDescent="0.3">
      <c r="A13" s="1" t="s">
        <v>34</v>
      </c>
      <c r="B13" s="1"/>
      <c r="C13" s="1" t="s">
        <v>35</v>
      </c>
      <c r="D13" s="1"/>
    </row>
    <row r="14" spans="1:6" s="9" customFormat="1" ht="12.75" customHeight="1" x14ac:dyDescent="0.3">
      <c r="A14" s="1" t="s">
        <v>33</v>
      </c>
      <c r="B14" s="1"/>
      <c r="C14" s="1" t="s">
        <v>32</v>
      </c>
      <c r="D14" s="1"/>
    </row>
    <row r="15" spans="1:6" s="9" customFormat="1" ht="12.75" customHeight="1" x14ac:dyDescent="0.3">
      <c r="A15" s="1" t="s">
        <v>38</v>
      </c>
      <c r="B15" s="1"/>
      <c r="C15" s="12" t="s">
        <v>88</v>
      </c>
      <c r="D15" s="1"/>
    </row>
    <row r="16" spans="1:6" s="9" customFormat="1" ht="12.75" customHeight="1" x14ac:dyDescent="0.35">
      <c r="A16" s="9" t="s">
        <v>37</v>
      </c>
      <c r="C16" s="12" t="s">
        <v>65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18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79</v>
      </c>
      <c r="B19" s="11"/>
      <c r="L19" s="12"/>
      <c r="W19" s="12"/>
      <c r="X19" s="12"/>
    </row>
    <row r="20" spans="1:24" s="9" customFormat="1" ht="12.75" customHeight="1" x14ac:dyDescent="0.35">
      <c r="A20" s="12" t="s">
        <v>74</v>
      </c>
      <c r="B20" s="11"/>
      <c r="L20" s="12"/>
      <c r="W20" s="12"/>
      <c r="X20" s="12"/>
    </row>
    <row r="21" spans="1:24" s="9" customFormat="1" ht="12.75" customHeight="1" x14ac:dyDescent="0.35">
      <c r="A21" s="12" t="s">
        <v>75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46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47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48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49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50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51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52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53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54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55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56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57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58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72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80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73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81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59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60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15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83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84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85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86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7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71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77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10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82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78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12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61</v>
      </c>
      <c r="B61" s="12"/>
      <c r="C61" s="12"/>
      <c r="D61" s="12"/>
      <c r="E61" s="12"/>
      <c r="F61" s="12"/>
      <c r="G61" s="12"/>
      <c r="H61" s="12"/>
      <c r="U61" s="12"/>
      <c r="V61" s="12"/>
    </row>
    <row r="62" spans="1:24" ht="14" x14ac:dyDescent="0.3">
      <c r="A62" s="12" t="s">
        <v>45</v>
      </c>
      <c r="B62" s="12"/>
      <c r="C62" s="12"/>
      <c r="D62" s="12"/>
      <c r="E62" s="12"/>
      <c r="F62" s="12"/>
      <c r="G62" s="12"/>
      <c r="H62" s="12"/>
      <c r="U62" s="12"/>
      <c r="V62" s="12"/>
    </row>
    <row r="64" spans="1:24" x14ac:dyDescent="0.3">
      <c r="A64" s="17" t="s">
        <v>19</v>
      </c>
      <c r="B64" s="7"/>
    </row>
    <row r="65" spans="1:8" x14ac:dyDescent="0.3">
      <c r="A65" s="18" t="s">
        <v>2</v>
      </c>
      <c r="B65" s="18" t="s">
        <v>16</v>
      </c>
      <c r="C65" s="18" t="s">
        <v>0</v>
      </c>
      <c r="D65" s="18" t="s">
        <v>1</v>
      </c>
      <c r="E65" s="18" t="s">
        <v>3</v>
      </c>
      <c r="F65" s="18" t="s">
        <v>4</v>
      </c>
      <c r="G65" s="18" t="s">
        <v>17</v>
      </c>
      <c r="H65" s="18" t="s">
        <v>5</v>
      </c>
    </row>
    <row r="66" spans="1:8" x14ac:dyDescent="0.3">
      <c r="A66" s="2" t="s">
        <v>39</v>
      </c>
      <c r="B66" s="2">
        <v>100</v>
      </c>
      <c r="C66" s="6">
        <v>1645.79</v>
      </c>
      <c r="D66" s="6">
        <v>1644.77986458692</v>
      </c>
      <c r="E66" s="3">
        <f>D66/C66-1</f>
        <v>-6.1376932238010884E-4</v>
      </c>
      <c r="F66" s="5">
        <f>5.53/1000</f>
        <v>5.5300000000000002E-3</v>
      </c>
      <c r="G66" s="1">
        <v>5000</v>
      </c>
      <c r="H66" s="6">
        <f>F66 * G66</f>
        <v>27.650000000000002</v>
      </c>
    </row>
    <row r="67" spans="1:8" x14ac:dyDescent="0.3">
      <c r="A67" s="1" t="s">
        <v>40</v>
      </c>
      <c r="B67" s="2">
        <v>100</v>
      </c>
      <c r="C67" s="24">
        <v>1252.3699999999999</v>
      </c>
      <c r="D67" s="24">
        <v>1177.53321827185</v>
      </c>
      <c r="E67" s="3">
        <f t="shared" ref="E67:E71" si="0">D67/C67-1</f>
        <v>-5.9756127764278855E-2</v>
      </c>
      <c r="F67" s="4">
        <f>14.98/1000</f>
        <v>1.498E-2</v>
      </c>
      <c r="G67" s="1">
        <v>5000</v>
      </c>
      <c r="H67" s="6">
        <f t="shared" ref="H67:H71" si="1">F67 * G67</f>
        <v>74.900000000000006</v>
      </c>
    </row>
    <row r="68" spans="1:8" x14ac:dyDescent="0.3">
      <c r="A68" s="2" t="s">
        <v>41</v>
      </c>
      <c r="B68" s="2">
        <v>100</v>
      </c>
      <c r="C68" s="6">
        <v>828.94</v>
      </c>
      <c r="D68" s="6">
        <v>828.936866942812</v>
      </c>
      <c r="E68" s="3">
        <f t="shared" si="0"/>
        <v>-3.7795946487007015E-6</v>
      </c>
      <c r="F68" s="4">
        <f>6.55/1000</f>
        <v>6.5499999999999994E-3</v>
      </c>
      <c r="G68" s="1">
        <v>5000</v>
      </c>
      <c r="H68" s="6">
        <f t="shared" si="1"/>
        <v>32.75</v>
      </c>
    </row>
    <row r="69" spans="1:8" x14ac:dyDescent="0.3">
      <c r="A69" s="2" t="s">
        <v>42</v>
      </c>
      <c r="B69" s="2">
        <v>100</v>
      </c>
      <c r="C69" s="6">
        <v>591.55999999999995</v>
      </c>
      <c r="D69" s="6">
        <v>591.55655667143196</v>
      </c>
      <c r="E69" s="3">
        <f t="shared" si="0"/>
        <v>-5.8207596321802058E-6</v>
      </c>
      <c r="F69" s="4">
        <f>20.3/1000</f>
        <v>2.0300000000000002E-2</v>
      </c>
      <c r="G69" s="1">
        <v>5000</v>
      </c>
      <c r="H69" s="6">
        <f t="shared" si="1"/>
        <v>101.50000000000001</v>
      </c>
    </row>
    <row r="70" spans="1:8" x14ac:dyDescent="0.3">
      <c r="A70" s="2" t="s">
        <v>43</v>
      </c>
      <c r="B70" s="2">
        <v>100</v>
      </c>
      <c r="C70" s="6">
        <v>1696.94</v>
      </c>
      <c r="D70" s="6">
        <v>1642.86396875943</v>
      </c>
      <c r="E70" s="3">
        <f t="shared" si="0"/>
        <v>-3.1866790364167286E-2</v>
      </c>
      <c r="F70" s="4">
        <f>5.71/1000</f>
        <v>5.7099999999999998E-3</v>
      </c>
      <c r="G70" s="1">
        <v>5000</v>
      </c>
      <c r="H70" s="6">
        <f t="shared" si="1"/>
        <v>28.55</v>
      </c>
    </row>
    <row r="71" spans="1:8" x14ac:dyDescent="0.3">
      <c r="A71" s="1" t="s">
        <v>44</v>
      </c>
      <c r="B71" s="2">
        <v>100</v>
      </c>
      <c r="C71" s="24">
        <v>1406.91</v>
      </c>
      <c r="D71" s="24">
        <v>1285.66233170286</v>
      </c>
      <c r="E71" s="3">
        <f t="shared" si="0"/>
        <v>-8.6180116920869243E-2</v>
      </c>
      <c r="F71" s="4">
        <f>12.24/1000</f>
        <v>1.2240000000000001E-2</v>
      </c>
      <c r="G71" s="1">
        <v>5000</v>
      </c>
      <c r="H71" s="6">
        <f t="shared" si="1"/>
        <v>61.2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2022-11-20T07:39:44Z</dcterms:modified>
</cp:coreProperties>
</file>