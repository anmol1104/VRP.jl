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BC696659-528D-4C69-98D7-B64DB642E9AF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7" i="1" l="1"/>
  <c r="F68" i="1"/>
  <c r="F70" i="1"/>
  <c r="F71" i="1"/>
  <c r="H71" i="1" s="1"/>
  <c r="F72" i="1"/>
  <c r="H72" i="1" s="1"/>
  <c r="F69" i="1"/>
  <c r="H69" i="1" s="1"/>
  <c r="H67" i="1"/>
  <c r="F69" i="2"/>
  <c r="F68" i="2"/>
  <c r="H68" i="2" s="1"/>
  <c r="F67" i="2"/>
  <c r="H67" i="2" s="1"/>
  <c r="F66" i="2"/>
  <c r="H66" i="2" s="1"/>
  <c r="F65" i="2"/>
  <c r="H70" i="1"/>
  <c r="H68" i="1"/>
  <c r="H69" i="2"/>
  <c r="H65" i="2"/>
  <c r="E69" i="2"/>
  <c r="E68" i="2"/>
  <c r="E67" i="2"/>
  <c r="E66" i="2"/>
  <c r="E65" i="2"/>
  <c r="E68" i="1"/>
  <c r="E69" i="1"/>
  <c r="E70" i="1"/>
  <c r="E71" i="1"/>
  <c r="E72" i="1"/>
  <c r="E67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<sst xmlns="http://schemas.openxmlformats.org/spreadsheetml/2006/main" count="163" uniqueCount="89">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</sst>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4"/>
  <sheetViews>
    <sheetView topLeftCell="A10" workbookViewId="0">
      <selection activeCell="A62" sqref="A19:A62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70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41</v>
      </c>
      <c r="B15" s="1"/>
      <c r="C15" s="12" t="s">
        <v>42</v>
      </c>
      <c r="D15" s="1"/>
    </row>
    <row r="16" spans="1:6" s="9" customFormat="1" ht="12.75" customHeight="1" x14ac:dyDescent="0.35">
      <c r="A16" s="9" t="s">
        <v>71</v>
      </c>
      <c r="C16" s="12" t="s">
        <v>72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86</v>
      </c>
      <c r="B19" s="12"/>
      <c r="W19" s="12"/>
      <c r="X19" s="12"/>
    </row>
    <row r="20" spans="1:24" s="9" customFormat="1" ht="12.75" customHeight="1" x14ac:dyDescent="0.35">
      <c r="A20" s="12" t="s">
        <v>81</v>
      </c>
      <c r="B20" s="12"/>
      <c r="W20" s="12"/>
      <c r="X20" s="12"/>
    </row>
    <row r="21" spans="1:24" s="9" customFormat="1" ht="12.75" customHeight="1" x14ac:dyDescent="0.35">
      <c r="A21" s="12" t="s">
        <v>82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50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51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52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53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54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55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56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57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58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59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60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61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62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79</v>
      </c>
      <c r="B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U39" s="12"/>
      <c r="V39" s="12"/>
      <c r="W39" s="12"/>
      <c r="X39" s="12"/>
    </row>
    <row r="40" spans="1:24" s="9" customFormat="1" ht="12.75" customHeight="1" x14ac:dyDescent="0.35">
      <c r="A40" s="12" t="s">
        <v>63</v>
      </c>
      <c r="B40" s="12"/>
      <c r="U40" s="12"/>
      <c r="V40" s="12"/>
      <c r="W40" s="12"/>
      <c r="X40" s="12"/>
    </row>
    <row r="41" spans="1:24" s="9" customFormat="1" ht="12.75" customHeight="1" x14ac:dyDescent="0.35">
      <c r="A41" s="12" t="s">
        <v>64</v>
      </c>
      <c r="B41" s="12"/>
      <c r="U41" s="12"/>
      <c r="V41" s="12"/>
      <c r="W41" s="12"/>
      <c r="X41" s="12"/>
    </row>
    <row r="42" spans="1:24" ht="14" x14ac:dyDescent="0.3">
      <c r="A42" s="12" t="s">
        <v>7</v>
      </c>
      <c r="B42" s="12"/>
      <c r="H42" s="9"/>
      <c r="U42" s="12"/>
      <c r="V42" s="12"/>
      <c r="W42" s="12"/>
      <c r="X42" s="12"/>
    </row>
    <row r="43" spans="1:24" ht="14" x14ac:dyDescent="0.3">
      <c r="A43" s="12" t="s">
        <v>17</v>
      </c>
      <c r="B43" s="12"/>
      <c r="H43" s="9"/>
      <c r="U43" s="12"/>
      <c r="V43" s="12"/>
      <c r="W43" s="12"/>
      <c r="X43" s="12"/>
    </row>
    <row r="44" spans="1:24" ht="14" x14ac:dyDescent="0.3">
      <c r="A44" s="12" t="s">
        <v>18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65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66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67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10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78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83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84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11</v>
      </c>
      <c r="B53" s="12"/>
      <c r="U53" s="12"/>
      <c r="V53" s="12"/>
      <c r="W53" s="12"/>
      <c r="X53" s="12"/>
    </row>
    <row r="54" spans="1:24" ht="14" x14ac:dyDescent="0.3">
      <c r="A54" s="12" t="s">
        <v>12</v>
      </c>
      <c r="B54" s="12"/>
      <c r="U54" s="12"/>
      <c r="V54" s="12"/>
      <c r="W54" s="12"/>
      <c r="X54" s="12"/>
    </row>
    <row r="55" spans="1:24" ht="14" x14ac:dyDescent="0.3">
      <c r="A55" s="12" t="s">
        <v>13</v>
      </c>
      <c r="B55" s="12"/>
      <c r="U55" s="12"/>
      <c r="V55" s="12"/>
      <c r="W55" s="12"/>
      <c r="X55" s="12"/>
    </row>
    <row r="56" spans="1:24" ht="14" x14ac:dyDescent="0.3">
      <c r="A56" s="12" t="s">
        <v>85</v>
      </c>
      <c r="B56" s="12"/>
      <c r="U56" s="12"/>
      <c r="V56" s="12"/>
      <c r="W56" s="12"/>
      <c r="X56" s="12"/>
    </row>
    <row r="57" spans="1:24" ht="14" x14ac:dyDescent="0.3">
      <c r="A57" s="12" t="s">
        <v>14</v>
      </c>
      <c r="B57" s="12"/>
      <c r="U57" s="12"/>
      <c r="V57" s="12"/>
      <c r="W57" s="12"/>
      <c r="X57" s="12"/>
    </row>
    <row r="58" spans="1:24" ht="14" x14ac:dyDescent="0.3">
      <c r="A58" s="12" t="s">
        <v>15</v>
      </c>
      <c r="B58" s="12"/>
      <c r="U58" s="12"/>
      <c r="V58" s="12"/>
      <c r="W58" s="12"/>
      <c r="X58" s="12"/>
    </row>
    <row r="59" spans="1:24" ht="14" x14ac:dyDescent="0.3">
      <c r="A59" s="12" t="s">
        <v>16</v>
      </c>
      <c r="B59" s="12"/>
      <c r="U59" s="12"/>
      <c r="V59" s="12"/>
      <c r="W59" s="12"/>
      <c r="X59" s="12"/>
    </row>
    <row r="60" spans="1:24" ht="14" x14ac:dyDescent="0.3">
      <c r="A60" s="12" t="s">
        <v>68</v>
      </c>
      <c r="U60" s="12"/>
      <c r="V60" s="12"/>
    </row>
    <row r="61" spans="1:24" ht="14" x14ac:dyDescent="0.3">
      <c r="A61" s="12" t="s">
        <v>49</v>
      </c>
      <c r="U61" s="12"/>
      <c r="V61" s="12"/>
    </row>
    <row r="63" spans="1:24" x14ac:dyDescent="0.3">
      <c r="A63" s="17" t="s">
        <v>22</v>
      </c>
      <c r="B63" s="7"/>
    </row>
    <row r="64" spans="1:24" x14ac:dyDescent="0.3">
      <c r="A64" s="18" t="s">
        <v>2</v>
      </c>
      <c r="B64" s="18" t="s">
        <v>19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20</v>
      </c>
      <c r="H64" s="18" t="s">
        <v>5</v>
      </c>
    </row>
    <row r="65" spans="1:8" x14ac:dyDescent="0.3">
      <c r="A65" s="2" t="s">
        <v>73</v>
      </c>
      <c r="B65" s="2">
        <v>100</v>
      </c>
      <c r="C65" s="25">
        <v>820</v>
      </c>
      <c r="D65" s="25">
        <v>819.55754418720403</v>
      </c>
      <c r="E65" s="3">
        <f>D65/C65-1</f>
        <v>-5.395802595072885E-4</v>
      </c>
      <c r="F65" s="5">
        <f>3.06/1000</f>
        <v>3.0600000000000002E-3</v>
      </c>
      <c r="G65" s="1">
        <v>5000</v>
      </c>
      <c r="H65" s="6">
        <f>F65 * G65</f>
        <v>15.3</v>
      </c>
    </row>
    <row r="66" spans="1:8" x14ac:dyDescent="0.3">
      <c r="A66" s="1" t="s">
        <v>74</v>
      </c>
      <c r="B66" s="1">
        <v>150</v>
      </c>
      <c r="C66" s="25">
        <v>3055.23</v>
      </c>
      <c r="D66" s="26">
        <v>3285.5122007330101</v>
      </c>
      <c r="E66" s="3">
        <f>D66/C66-1</f>
        <v>7.5373114539006858E-2</v>
      </c>
      <c r="F66" s="4">
        <f>8.64/1000</f>
        <v>8.6400000000000001E-3</v>
      </c>
      <c r="G66" s="1">
        <v>5000</v>
      </c>
      <c r="H66" s="6">
        <f t="shared" ref="H66:H69" si="0">F66 * G66</f>
        <v>43.2</v>
      </c>
    </row>
    <row r="67" spans="1:8" x14ac:dyDescent="0.3">
      <c r="A67" s="2" t="s">
        <v>75</v>
      </c>
      <c r="B67" s="2">
        <v>200</v>
      </c>
      <c r="C67" s="25">
        <v>1395.85</v>
      </c>
      <c r="D67" s="25">
        <v>1348.1244809024799</v>
      </c>
      <c r="E67" s="3">
        <f>D67/C67-1</f>
        <v>-3.4191008416033175E-2</v>
      </c>
      <c r="F67" s="4">
        <f>10.63/1000</f>
        <v>1.0630000000000001E-2</v>
      </c>
      <c r="G67" s="1">
        <v>5000</v>
      </c>
      <c r="H67" s="6">
        <f t="shared" si="0"/>
        <v>53.150000000000006</v>
      </c>
    </row>
    <row r="68" spans="1:8" x14ac:dyDescent="0.3">
      <c r="A68" s="1" t="s">
        <v>76</v>
      </c>
      <c r="B68" s="1">
        <v>250</v>
      </c>
      <c r="C68" s="25">
        <v>38684</v>
      </c>
      <c r="D68" s="25">
        <v>41961.925811757901</v>
      </c>
      <c r="E68" s="3">
        <f>D68/C68-1</f>
        <v>8.473595832276648E-2</v>
      </c>
      <c r="F68" s="4">
        <f>15.83/1000</f>
        <v>1.583E-2</v>
      </c>
      <c r="G68" s="1">
        <v>5000</v>
      </c>
      <c r="H68" s="6">
        <f t="shared" si="0"/>
        <v>79.150000000000006</v>
      </c>
    </row>
    <row r="69" spans="1:8" x14ac:dyDescent="0.3">
      <c r="A69" s="1" t="s">
        <v>77</v>
      </c>
      <c r="B69" s="7">
        <v>302</v>
      </c>
      <c r="C69" s="27">
        <v>21736</v>
      </c>
      <c r="D69" s="26">
        <v>23011.023699336001</v>
      </c>
      <c r="E69" s="3">
        <f>D69/C69-1</f>
        <v>5.8659537142804696E-2</v>
      </c>
      <c r="F69" s="4">
        <f>22.25/1000</f>
        <v>2.2249999999999999E-2</v>
      </c>
      <c r="G69" s="1">
        <v>5000</v>
      </c>
      <c r="H69" s="1">
        <f t="shared" si="0"/>
        <v>111.25</v>
      </c>
    </row>
    <row r="70" spans="1:8" x14ac:dyDescent="0.3">
      <c r="B70" s="7"/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2"/>
  <sheetViews>
    <sheetView tabSelected="1" topLeftCell="A10" zoomScaleNormal="100" workbookViewId="0">
      <selection activeCell="A42" sqref="A42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69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41</v>
      </c>
      <c r="B15" s="1"/>
      <c r="C15" s="12" t="s">
        <v>42</v>
      </c>
      <c r="D15" s="1"/>
    </row>
    <row r="16" spans="1:6" s="9" customFormat="1" ht="12.75" customHeight="1" x14ac:dyDescent="0.35">
      <c r="A16" s="9" t="s">
        <v>40</v>
      </c>
      <c r="C16" s="12" t="s">
        <v>72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86</v>
      </c>
      <c r="B19" s="11"/>
      <c r="L19" s="12"/>
      <c r="W19" s="12"/>
      <c r="X19" s="12"/>
    </row>
    <row r="20" spans="1:24" s="9" customFormat="1" ht="12.75" customHeight="1" x14ac:dyDescent="0.35">
      <c r="A20" s="12" t="s">
        <v>81</v>
      </c>
      <c r="B20" s="11"/>
      <c r="L20" s="12"/>
      <c r="W20" s="12"/>
      <c r="X20" s="12"/>
    </row>
    <row r="21" spans="1:24" s="9" customFormat="1" ht="12.75" customHeight="1" x14ac:dyDescent="0.35">
      <c r="A21" s="12" t="s">
        <v>82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50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51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52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53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54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55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56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57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58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59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60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61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62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79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87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80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88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63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64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17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18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65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66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67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10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78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83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84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13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85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14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15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16</v>
      </c>
      <c r="B61" s="12"/>
      <c r="C61" s="12"/>
      <c r="D61" s="12"/>
      <c r="E61" s="12"/>
      <c r="F61" s="12"/>
      <c r="G61" s="12"/>
      <c r="H61" s="12"/>
      <c r="L61" s="12"/>
      <c r="U61" s="12"/>
      <c r="V61" s="12"/>
      <c r="W61" s="12"/>
      <c r="X61" s="12"/>
    </row>
    <row r="62" spans="1:24" ht="14" x14ac:dyDescent="0.3">
      <c r="A62" s="12" t="s">
        <v>68</v>
      </c>
      <c r="B62" s="12"/>
      <c r="C62" s="12"/>
      <c r="D62" s="12"/>
      <c r="E62" s="12"/>
      <c r="F62" s="12"/>
      <c r="G62" s="12"/>
      <c r="H62" s="12"/>
      <c r="U62" s="12"/>
      <c r="V62" s="12"/>
    </row>
    <row r="63" spans="1:24" ht="14" x14ac:dyDescent="0.3">
      <c r="A63" s="12" t="s">
        <v>49</v>
      </c>
      <c r="B63" s="12"/>
      <c r="C63" s="12"/>
      <c r="D63" s="12"/>
      <c r="E63" s="12"/>
      <c r="F63" s="12"/>
      <c r="G63" s="12"/>
      <c r="H63" s="12"/>
      <c r="U63" s="12"/>
      <c r="V63" s="12"/>
    </row>
    <row r="65" spans="1:8" x14ac:dyDescent="0.3">
      <c r="A65" s="17" t="s">
        <v>22</v>
      </c>
      <c r="B65" s="7"/>
    </row>
    <row r="66" spans="1:8" x14ac:dyDescent="0.3">
      <c r="A66" s="18" t="s">
        <v>2</v>
      </c>
      <c r="B66" s="18" t="s">
        <v>19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20</v>
      </c>
      <c r="H66" s="18" t="s">
        <v>5</v>
      </c>
    </row>
    <row r="67" spans="1:8" x14ac:dyDescent="0.3">
      <c r="A67" s="2" t="s">
        <v>43</v>
      </c>
      <c r="B67" s="2">
        <v>100</v>
      </c>
      <c r="C67" s="6">
        <v>1645.79</v>
      </c>
      <c r="D67" s="6">
        <v>1649.8569104814301</v>
      </c>
      <c r="E67" s="3">
        <f>D67/C67-1</f>
        <v>2.4710992784195973E-3</v>
      </c>
      <c r="F67" s="5">
        <f>4.52/1000</f>
        <v>4.5199999999999997E-3</v>
      </c>
      <c r="G67" s="1">
        <v>5000</v>
      </c>
      <c r="H67" s="6">
        <f>F67 * G67</f>
        <v>22.599999999999998</v>
      </c>
    </row>
    <row r="68" spans="1:8" x14ac:dyDescent="0.3">
      <c r="A68" s="1" t="s">
        <v>44</v>
      </c>
      <c r="B68" s="2">
        <v>100</v>
      </c>
      <c r="C68" s="24">
        <v>1252.3699999999999</v>
      </c>
      <c r="D68" s="24">
        <v>1220.42533986741</v>
      </c>
      <c r="E68" s="3">
        <f t="shared" ref="E68:E72" si="0">D68/C68-1</f>
        <v>-2.5507366139870702E-2</v>
      </c>
      <c r="F68" s="4">
        <f>10.78/1000</f>
        <v>1.078E-2</v>
      </c>
      <c r="G68" s="1">
        <v>5000</v>
      </c>
      <c r="H68" s="6">
        <f t="shared" ref="H68:H72" si="1">F68 * G68</f>
        <v>53.9</v>
      </c>
    </row>
    <row r="69" spans="1:8" x14ac:dyDescent="0.3">
      <c r="A69" s="2" t="s">
        <v>45</v>
      </c>
      <c r="B69" s="2">
        <v>100</v>
      </c>
      <c r="C69" s="6">
        <v>828.94</v>
      </c>
      <c r="D69" s="6">
        <v>828.93686694144105</v>
      </c>
      <c r="E69" s="3">
        <f t="shared" si="0"/>
        <v>-3.779596302488919E-6</v>
      </c>
      <c r="F69" s="4">
        <f>5.75/1000</f>
        <v>5.7499999999999999E-3</v>
      </c>
      <c r="G69" s="1">
        <v>5000</v>
      </c>
      <c r="H69" s="6">
        <f t="shared" si="1"/>
        <v>28.75</v>
      </c>
    </row>
    <row r="70" spans="1:8" x14ac:dyDescent="0.3">
      <c r="A70" s="2" t="s">
        <v>46</v>
      </c>
      <c r="B70" s="2">
        <v>100</v>
      </c>
      <c r="C70" s="6">
        <v>591.55999999999995</v>
      </c>
      <c r="D70" s="6">
        <v>591.55655666571897</v>
      </c>
      <c r="E70" s="3">
        <f t="shared" si="0"/>
        <v>-5.8207692896772301E-6</v>
      </c>
      <c r="F70" s="4">
        <f>19.81/1000</f>
        <v>1.9809999999999998E-2</v>
      </c>
      <c r="G70" s="1">
        <v>5000</v>
      </c>
      <c r="H70" s="6">
        <f t="shared" si="1"/>
        <v>99.049999999999983</v>
      </c>
    </row>
    <row r="71" spans="1:8" x14ac:dyDescent="0.3">
      <c r="A71" s="2" t="s">
        <v>47</v>
      </c>
      <c r="B71" s="2">
        <v>100</v>
      </c>
      <c r="C71" s="6">
        <v>1696.94</v>
      </c>
      <c r="D71" s="6">
        <v>1664.8291484931301</v>
      </c>
      <c r="E71" s="3">
        <f t="shared" si="0"/>
        <v>-1.8922797215499609E-2</v>
      </c>
      <c r="F71" s="4">
        <f>4.78/1000</f>
        <v>4.7800000000000004E-3</v>
      </c>
      <c r="G71" s="1">
        <v>5000</v>
      </c>
      <c r="H71" s="6">
        <f t="shared" si="1"/>
        <v>23.900000000000002</v>
      </c>
    </row>
    <row r="72" spans="1:8" x14ac:dyDescent="0.3">
      <c r="A72" s="1" t="s">
        <v>48</v>
      </c>
      <c r="B72" s="2">
        <v>100</v>
      </c>
      <c r="C72" s="24">
        <v>1406.91</v>
      </c>
      <c r="D72" s="24">
        <v>1299.28562051327</v>
      </c>
      <c r="E72" s="3">
        <f t="shared" si="0"/>
        <v>-7.6496989492384038E-2</v>
      </c>
      <c r="F72" s="4">
        <f>9.33/1000</f>
        <v>9.3299999999999998E-3</v>
      </c>
      <c r="G72" s="1">
        <v>5000</v>
      </c>
      <c r="H72" s="6">
        <f t="shared" si="1"/>
        <v>46.65</v>
      </c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  <row r="282" spans="2:2" x14ac:dyDescent="0.3">
      <c r="B28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2022-10-05T23:46:29Z</dcterms:modified>
</cp:coreProperties>
</file>