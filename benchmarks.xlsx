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3CB94505-E4A1-4643-9A20-E64ED73834C2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0" i="2" l="1"/>
  <c r="F68" i="2"/>
  <c r="H68" i="2" s="1"/>
  <c r="F67" i="2"/>
  <c r="H67" i="2" s="1"/>
  <c r="F72" i="1"/>
  <c r="H72" i="1" s="1"/>
  <c r="F71" i="1"/>
  <c r="H71" i="1" s="1"/>
  <c r="F70" i="1"/>
  <c r="H70" i="1" s="1"/>
  <c r="F69" i="1"/>
  <c r="F68" i="1"/>
  <c r="F67" i="1"/>
  <c r="H69" i="1"/>
  <c r="H67" i="1"/>
  <c r="F71" i="2"/>
  <c r="H70" i="2"/>
  <c r="F69" i="2"/>
  <c r="H69" i="2" s="1"/>
  <c r="H68" i="1"/>
  <c r="H71" i="2"/>
  <c r="E71" i="2"/>
  <c r="E70" i="2"/>
  <c r="E69" i="2"/>
  <c r="E68" i="2"/>
  <c r="E67" i="2"/>
  <c r="E68" i="1"/>
  <c r="E69" i="1"/>
  <c r="E70" i="1"/>
  <c r="E71" i="1"/>
  <c r="E72" i="1"/>
  <c r="E67" i="1"/>
</calcChain>
</file>

<file path=xl/sharedStrings.xml><?xml version="1.0" encoding="utf-8"?>
<sst xmlns="http://schemas.openxmlformats.org/spreadsheetml/2006/main" count="165" uniqueCount="89">
  <si>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</si>
  <si>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</si>
  <si>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</si>
  <si>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</si>
  <si>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</si>
  <si>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</si>
  <si>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</si>
  <si>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</si>
  <si>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</si>
  <si>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</si>
  <si>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</si>
  <si>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ω   =   0.05                    ,</t>
  </si>
  <si>
    <t>        τ   =   0.5    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</si>
  <si>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</si>
  <si>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</si>
  <si>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</si>
  <si>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</si>
  <si>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</si>
  <si>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</si>
  <si>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</si>
  <si>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</si>
  <si>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</si>
  <si>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</si>
  <si>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</si>
  <si>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</si>
  <si>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</si>
  <si>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</si>
  <si>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</si>
  <si>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</si>
  <si>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</si>
  <si>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</si>
  <si>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</si>
  <si>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</si>
  <si>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</si>
  <si>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</si>
  <si>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</si>
  <si>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</si>
  <si>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</si>
  <si>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</si>
  <si>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</si>
  <si>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rng</t>
  </si>
  <si>
    <t>r101</t>
  </si>
  <si>
    <t>r201</t>
  </si>
  <si>
    <t>c101</t>
  </si>
  <si>
    <t>c201</t>
  </si>
  <si>
    <t>rc101</t>
  </si>
  <si>
    <t>rc201</t>
  </si>
  <si>
    <t>    );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</si>
  <si>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</si>
  <si>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</si>
  <si>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</si>
  <si>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</si>
  <si>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</si>
  <si>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</si>
  <si>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</si>
  <si>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</si>
  <si>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</si>
  <si>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</si>
  <si>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</si>
  <si>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</si>
  <si>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</si>
  <si>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</si>
  <si>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</si>
  <si>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</si>
  <si>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</si>
  <si>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</si>
  <si>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</si>
  <si>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</si>
  <si>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</si>
  <si>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</si>
  <si>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</si>
  <si>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</si>
  <si>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</si>
  <si>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</si>
  <si>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</si>
  <si>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</si>
  <si>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        σ₁  =   15                      ,</t>
  </si>
  <si>
    <t>                    :bestprecise!   ,</t>
  </si>
  <si>
    <t>                    :greedyprecise! ,</t>
  </si>
  <si>
    <t>    n = max(500, ceil(x, digits=-(length(digits(x))-1)));</t>
  </si>
  <si>
    <t>    χ = ALNSParameters(</t>
  </si>
  <si>
    <t>        σ₂  =   10                      ,</t>
  </si>
  <si>
    <t>        σ₃  =   3                       ,</t>
  </si>
  <si>
    <t>        C̲   =   4                       ,</t>
  </si>
  <si>
    <t>    x = length(N)</t>
  </si>
  <si>
    <t>                    :bestperturb!   ,</t>
  </si>
  <si>
    <t>                    :greedyperturb! ,</t>
  </si>
  <si>
    <t>MersenneTwister(1104); MersenneTwister(1234); MersenneTwister(1403)</t>
  </si>
  <si>
    <t>        𝜃   =   0.9975                 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</si>
</sst>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6"/>
  <sheetViews>
    <sheetView topLeftCell="A16" workbookViewId="0">
      <selection activeCell="A58" sqref="A58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68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22</v>
      </c>
    </row>
    <row r="4" spans="1:6" x14ac:dyDescent="0.3">
      <c r="A4" s="1" t="s">
        <v>23</v>
      </c>
      <c r="B4" s="13"/>
      <c r="C4" s="1" t="s">
        <v>24</v>
      </c>
      <c r="D4" s="2"/>
      <c r="E4" s="2"/>
      <c r="F4" s="2"/>
    </row>
    <row r="5" spans="1:6" x14ac:dyDescent="0.3">
      <c r="A5" s="1" t="s">
        <v>25</v>
      </c>
      <c r="B5" s="13"/>
      <c r="C5" s="1" t="s">
        <v>28</v>
      </c>
      <c r="D5" s="2"/>
      <c r="E5" s="2"/>
      <c r="F5" s="2"/>
    </row>
    <row r="6" spans="1:6" s="9" customFormat="1" ht="12.75" customHeight="1" x14ac:dyDescent="0.35">
      <c r="A6" s="9" t="s">
        <v>26</v>
      </c>
      <c r="C6" s="9" t="s">
        <v>27</v>
      </c>
    </row>
    <row r="7" spans="1:6" s="9" customFormat="1" ht="12.75" customHeight="1" x14ac:dyDescent="0.35"/>
    <row r="8" spans="1:6" s="9" customFormat="1" ht="12.75" customHeight="1" x14ac:dyDescent="0.35">
      <c r="A8" s="23" t="s">
        <v>33</v>
      </c>
    </row>
    <row r="9" spans="1:6" s="9" customFormat="1" ht="12.75" customHeight="1" x14ac:dyDescent="0.3">
      <c r="A9" s="1" t="s">
        <v>29</v>
      </c>
      <c r="B9" s="1"/>
      <c r="C9" s="1" t="s">
        <v>30</v>
      </c>
      <c r="D9" s="1"/>
    </row>
    <row r="10" spans="1:6" s="9" customFormat="1" ht="12.75" customHeight="1" x14ac:dyDescent="0.3">
      <c r="A10" s="1" t="s">
        <v>31</v>
      </c>
      <c r="B10" s="1"/>
      <c r="C10" s="1" t="s">
        <v>32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38</v>
      </c>
      <c r="B12" s="1"/>
      <c r="C12" s="1"/>
      <c r="D12" s="1"/>
    </row>
    <row r="13" spans="1:6" s="9" customFormat="1" ht="12.75" customHeight="1" x14ac:dyDescent="0.3">
      <c r="A13" s="1" t="s">
        <v>36</v>
      </c>
      <c r="B13" s="1"/>
      <c r="C13" s="1" t="s">
        <v>37</v>
      </c>
      <c r="D13" s="1"/>
    </row>
    <row r="14" spans="1:6" s="9" customFormat="1" ht="12.75" customHeight="1" x14ac:dyDescent="0.3">
      <c r="A14" s="1" t="s">
        <v>35</v>
      </c>
      <c r="B14" s="1"/>
      <c r="C14" s="1" t="s">
        <v>34</v>
      </c>
      <c r="D14" s="1"/>
    </row>
    <row r="15" spans="1:6" s="9" customFormat="1" ht="12.75" customHeight="1" x14ac:dyDescent="0.3">
      <c r="A15" s="1" t="s">
        <v>40</v>
      </c>
      <c r="B15" s="1"/>
      <c r="C15" s="12" t="s">
        <v>87</v>
      </c>
      <c r="D15" s="1"/>
    </row>
    <row r="16" spans="1:6" s="9" customFormat="1" ht="12.75" customHeight="1" x14ac:dyDescent="0.35">
      <c r="A16" s="9" t="s">
        <v>69</v>
      </c>
      <c r="C16" s="12" t="s">
        <v>70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20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84</v>
      </c>
      <c r="B19" s="12"/>
      <c r="W19" s="12"/>
      <c r="X19" s="12"/>
    </row>
    <row r="20" spans="1:24" s="9" customFormat="1" ht="12.75" customHeight="1" x14ac:dyDescent="0.35">
      <c r="A20" s="12" t="s">
        <v>79</v>
      </c>
      <c r="B20" s="12"/>
      <c r="W20" s="12"/>
      <c r="X20" s="12"/>
    </row>
    <row r="21" spans="1:24" s="9" customFormat="1" ht="12.75" customHeight="1" x14ac:dyDescent="0.35">
      <c r="A21" s="12" t="s">
        <v>80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48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49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50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51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52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53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54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55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56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57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58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59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60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77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85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78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86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61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62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16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17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63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64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65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10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7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76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81</v>
      </c>
      <c r="B53" s="12"/>
      <c r="H53" s="9"/>
      <c r="U53" s="12"/>
      <c r="V53" s="12"/>
      <c r="W53" s="12"/>
      <c r="X53" s="12"/>
    </row>
    <row r="54" spans="1:24" ht="14" x14ac:dyDescent="0.3">
      <c r="A54" s="12" t="s">
        <v>82</v>
      </c>
      <c r="B54" s="12"/>
      <c r="H54" s="9"/>
      <c r="U54" s="12"/>
      <c r="V54" s="12"/>
      <c r="W54" s="12"/>
      <c r="X54" s="12"/>
    </row>
    <row r="55" spans="1:24" ht="14" x14ac:dyDescent="0.3">
      <c r="A55" s="12" t="s">
        <v>11</v>
      </c>
      <c r="B55" s="12"/>
      <c r="U55" s="12"/>
      <c r="V55" s="12"/>
      <c r="W55" s="12"/>
      <c r="X55" s="12"/>
    </row>
    <row r="56" spans="1:24" ht="14" x14ac:dyDescent="0.3">
      <c r="A56" s="12" t="s">
        <v>12</v>
      </c>
      <c r="B56" s="12"/>
      <c r="U56" s="12"/>
      <c r="V56" s="12"/>
      <c r="W56" s="12"/>
      <c r="X56" s="12"/>
    </row>
    <row r="57" spans="1:24" ht="14" x14ac:dyDescent="0.3">
      <c r="A57" s="12" t="s">
        <v>88</v>
      </c>
      <c r="B57" s="12"/>
      <c r="U57" s="12"/>
      <c r="V57" s="12"/>
      <c r="W57" s="12"/>
      <c r="X57" s="12"/>
    </row>
    <row r="58" spans="1:24" ht="14" x14ac:dyDescent="0.3">
      <c r="A58" s="12" t="s">
        <v>83</v>
      </c>
      <c r="B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U60" s="12"/>
      <c r="V60" s="12"/>
      <c r="W60" s="12"/>
      <c r="X60" s="12"/>
    </row>
    <row r="61" spans="1:24" ht="14" x14ac:dyDescent="0.3">
      <c r="A61" s="12" t="s">
        <v>15</v>
      </c>
      <c r="B61" s="12"/>
      <c r="U61" s="12"/>
      <c r="V61" s="12"/>
      <c r="W61" s="12"/>
      <c r="X61" s="12"/>
    </row>
    <row r="62" spans="1:24" ht="14" x14ac:dyDescent="0.3">
      <c r="A62" s="12" t="s">
        <v>66</v>
      </c>
      <c r="U62" s="12"/>
      <c r="V62" s="12"/>
    </row>
    <row r="63" spans="1:24" ht="14" x14ac:dyDescent="0.3">
      <c r="A63" s="12" t="s">
        <v>47</v>
      </c>
      <c r="U63" s="12"/>
      <c r="V63" s="12"/>
    </row>
    <row r="65" spans="1:8" x14ac:dyDescent="0.3">
      <c r="A65" s="17" t="s">
        <v>21</v>
      </c>
      <c r="B65" s="7"/>
    </row>
    <row r="66" spans="1:8" x14ac:dyDescent="0.3">
      <c r="A66" s="18" t="s">
        <v>2</v>
      </c>
      <c r="B66" s="18" t="s">
        <v>18</v>
      </c>
      <c r="C66" s="18" t="s">
        <v>0</v>
      </c>
      <c r="D66" s="18" t="s">
        <v>1</v>
      </c>
      <c r="E66" s="18" t="s">
        <v>3</v>
      </c>
      <c r="F66" s="18" t="s">
        <v>4</v>
      </c>
      <c r="G66" s="18" t="s">
        <v>19</v>
      </c>
      <c r="H66" s="18" t="s">
        <v>5</v>
      </c>
    </row>
    <row r="67" spans="1:8" x14ac:dyDescent="0.3">
      <c r="A67" s="2" t="s">
        <v>71</v>
      </c>
      <c r="B67" s="2">
        <v>100</v>
      </c>
      <c r="C67" s="25">
        <v>820</v>
      </c>
      <c r="D67" s="25">
        <v>819.55754418737604</v>
      </c>
      <c r="E67" s="3">
        <f>D67/C67-1</f>
        <v>-5.3958025929756737E-4</v>
      </c>
      <c r="F67" s="5">
        <f>3.01/1000</f>
        <v>3.0099999999999997E-3</v>
      </c>
      <c r="G67" s="1">
        <v>5000</v>
      </c>
      <c r="H67" s="6">
        <f>F67 * G67</f>
        <v>15.049999999999999</v>
      </c>
    </row>
    <row r="68" spans="1:8" x14ac:dyDescent="0.3">
      <c r="A68" s="1" t="s">
        <v>72</v>
      </c>
      <c r="B68" s="1">
        <v>150</v>
      </c>
      <c r="C68" s="25">
        <v>3055.23</v>
      </c>
      <c r="D68" s="26">
        <v>3128.3186327508502</v>
      </c>
      <c r="E68" s="3">
        <f>D68/C68-1</f>
        <v>2.3922465002913063E-2</v>
      </c>
      <c r="F68" s="4">
        <f>8.1/1000</f>
        <v>8.0999999999999996E-3</v>
      </c>
      <c r="G68" s="1">
        <v>5000</v>
      </c>
      <c r="H68" s="6">
        <f t="shared" ref="H68:H71" si="0">F68 * G68</f>
        <v>40.5</v>
      </c>
    </row>
    <row r="69" spans="1:8" x14ac:dyDescent="0.3">
      <c r="A69" s="2" t="s">
        <v>73</v>
      </c>
      <c r="B69" s="2">
        <v>200</v>
      </c>
      <c r="C69" s="25">
        <v>1395.85</v>
      </c>
      <c r="D69" s="25">
        <v>1336.37747640726</v>
      </c>
      <c r="E69" s="3">
        <f>D69/C69-1</f>
        <v>-4.2606672344979724E-2</v>
      </c>
      <c r="F69" s="4">
        <f>10.63/1000</f>
        <v>1.0630000000000001E-2</v>
      </c>
      <c r="G69" s="1">
        <v>5000</v>
      </c>
      <c r="H69" s="6">
        <f t="shared" si="0"/>
        <v>53.150000000000006</v>
      </c>
    </row>
    <row r="70" spans="1:8" x14ac:dyDescent="0.3">
      <c r="A70" s="1" t="s">
        <v>74</v>
      </c>
      <c r="B70" s="1">
        <v>250</v>
      </c>
      <c r="C70" s="25">
        <v>38684</v>
      </c>
      <c r="D70" s="25">
        <v>40485.081394866203</v>
      </c>
      <c r="E70" s="3">
        <f>D70/C70-1</f>
        <v>4.6558820051344263E-2</v>
      </c>
      <c r="F70" s="4">
        <f>15.56/1000</f>
        <v>1.5560000000000001E-2</v>
      </c>
      <c r="G70" s="1">
        <v>5000</v>
      </c>
      <c r="H70" s="6">
        <f t="shared" si="0"/>
        <v>77.800000000000011</v>
      </c>
    </row>
    <row r="71" spans="1:8" x14ac:dyDescent="0.3">
      <c r="A71" s="1" t="s">
        <v>75</v>
      </c>
      <c r="B71" s="7">
        <v>302</v>
      </c>
      <c r="C71" s="27">
        <v>21736</v>
      </c>
      <c r="D71" s="26">
        <v>22748.082711906602</v>
      </c>
      <c r="E71" s="3">
        <f>D71/C71-1</f>
        <v>4.6562509749107583E-2</v>
      </c>
      <c r="F71" s="4">
        <f>22.25/1000</f>
        <v>2.2249999999999999E-2</v>
      </c>
      <c r="G71" s="1">
        <v>5000</v>
      </c>
      <c r="H71" s="1">
        <f t="shared" si="0"/>
        <v>111.25</v>
      </c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2"/>
  <sheetViews>
    <sheetView tabSelected="1" topLeftCell="A19" zoomScaleNormal="100" workbookViewId="0">
      <selection activeCell="A58" sqref="A58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67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22</v>
      </c>
    </row>
    <row r="4" spans="1:6" x14ac:dyDescent="0.3">
      <c r="A4" s="1" t="s">
        <v>23</v>
      </c>
      <c r="B4" s="13"/>
      <c r="C4" s="1" t="s">
        <v>24</v>
      </c>
      <c r="D4" s="2"/>
      <c r="E4" s="2"/>
      <c r="F4" s="2"/>
    </row>
    <row r="5" spans="1:6" x14ac:dyDescent="0.3">
      <c r="A5" s="1" t="s">
        <v>25</v>
      </c>
      <c r="B5" s="13"/>
      <c r="C5" s="1" t="s">
        <v>28</v>
      </c>
      <c r="D5" s="2"/>
      <c r="E5" s="2"/>
      <c r="F5" s="2"/>
    </row>
    <row r="6" spans="1:6" s="9" customFormat="1" ht="12.75" customHeight="1" x14ac:dyDescent="0.35">
      <c r="A6" s="9" t="s">
        <v>26</v>
      </c>
      <c r="C6" s="9" t="s">
        <v>27</v>
      </c>
    </row>
    <row r="7" spans="1:6" s="9" customFormat="1" ht="12.75" customHeight="1" x14ac:dyDescent="0.35"/>
    <row r="8" spans="1:6" s="9" customFormat="1" ht="12.75" customHeight="1" x14ac:dyDescent="0.35">
      <c r="A8" s="23" t="s">
        <v>33</v>
      </c>
    </row>
    <row r="9" spans="1:6" s="9" customFormat="1" ht="12.75" customHeight="1" x14ac:dyDescent="0.3">
      <c r="A9" s="1" t="s">
        <v>29</v>
      </c>
      <c r="B9" s="1"/>
      <c r="C9" s="1" t="s">
        <v>30</v>
      </c>
      <c r="D9" s="1"/>
    </row>
    <row r="10" spans="1:6" s="9" customFormat="1" ht="12.75" customHeight="1" x14ac:dyDescent="0.3">
      <c r="A10" s="1" t="s">
        <v>31</v>
      </c>
      <c r="B10" s="1"/>
      <c r="C10" s="1" t="s">
        <v>32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38</v>
      </c>
      <c r="B12" s="1"/>
      <c r="C12" s="1"/>
      <c r="D12" s="1"/>
    </row>
    <row r="13" spans="1:6" s="9" customFormat="1" ht="12.75" customHeight="1" x14ac:dyDescent="0.3">
      <c r="A13" s="1" t="s">
        <v>36</v>
      </c>
      <c r="B13" s="1"/>
      <c r="C13" s="1" t="s">
        <v>37</v>
      </c>
      <c r="D13" s="1"/>
    </row>
    <row r="14" spans="1:6" s="9" customFormat="1" ht="12.75" customHeight="1" x14ac:dyDescent="0.3">
      <c r="A14" s="1" t="s">
        <v>35</v>
      </c>
      <c r="B14" s="1"/>
      <c r="C14" s="1" t="s">
        <v>34</v>
      </c>
      <c r="D14" s="1"/>
    </row>
    <row r="15" spans="1:6" s="9" customFormat="1" ht="12.75" customHeight="1" x14ac:dyDescent="0.3">
      <c r="A15" s="1" t="s">
        <v>40</v>
      </c>
      <c r="B15" s="1"/>
      <c r="C15" s="12" t="s">
        <v>87</v>
      </c>
      <c r="D15" s="1"/>
    </row>
    <row r="16" spans="1:6" s="9" customFormat="1" ht="12.75" customHeight="1" x14ac:dyDescent="0.35">
      <c r="A16" s="9" t="s">
        <v>39</v>
      </c>
      <c r="C16" s="12" t="s">
        <v>70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20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84</v>
      </c>
      <c r="B19" s="11"/>
      <c r="L19" s="12"/>
      <c r="W19" s="12"/>
      <c r="X19" s="12"/>
    </row>
    <row r="20" spans="1:24" s="9" customFormat="1" ht="12.75" customHeight="1" x14ac:dyDescent="0.35">
      <c r="A20" s="12" t="s">
        <v>79</v>
      </c>
      <c r="B20" s="11"/>
      <c r="L20" s="12"/>
      <c r="W20" s="12"/>
      <c r="X20" s="12"/>
    </row>
    <row r="21" spans="1:24" s="9" customFormat="1" ht="12.75" customHeight="1" x14ac:dyDescent="0.35">
      <c r="A21" s="12" t="s">
        <v>80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48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49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50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51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52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53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54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55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56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57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58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59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60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77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85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78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86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61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62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16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17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63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64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65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10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7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76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81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82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12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88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83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C60" s="12"/>
      <c r="D60" s="12"/>
      <c r="E60" s="12"/>
      <c r="F60" s="12"/>
      <c r="G60" s="12"/>
      <c r="H60" s="12"/>
      <c r="L60" s="12"/>
      <c r="U60" s="12"/>
      <c r="V60" s="12"/>
      <c r="W60" s="12"/>
      <c r="X60" s="12"/>
    </row>
    <row r="61" spans="1:24" ht="14" x14ac:dyDescent="0.3">
      <c r="A61" s="12" t="s">
        <v>15</v>
      </c>
      <c r="B61" s="12"/>
      <c r="C61" s="12"/>
      <c r="D61" s="12"/>
      <c r="E61" s="12"/>
      <c r="F61" s="12"/>
      <c r="G61" s="12"/>
      <c r="H61" s="12"/>
      <c r="L61" s="12"/>
      <c r="U61" s="12"/>
      <c r="V61" s="12"/>
      <c r="W61" s="12"/>
      <c r="X61" s="12"/>
    </row>
    <row r="62" spans="1:24" ht="14" x14ac:dyDescent="0.3">
      <c r="A62" s="12" t="s">
        <v>66</v>
      </c>
      <c r="B62" s="12"/>
      <c r="C62" s="12"/>
      <c r="D62" s="12"/>
      <c r="E62" s="12"/>
      <c r="F62" s="12"/>
      <c r="G62" s="12"/>
      <c r="H62" s="12"/>
      <c r="U62" s="12"/>
      <c r="V62" s="12"/>
    </row>
    <row r="63" spans="1:24" ht="14" x14ac:dyDescent="0.3">
      <c r="A63" s="12" t="s">
        <v>47</v>
      </c>
      <c r="B63" s="12"/>
      <c r="C63" s="12"/>
      <c r="D63" s="12"/>
      <c r="E63" s="12"/>
      <c r="F63" s="12"/>
      <c r="G63" s="12"/>
      <c r="H63" s="12"/>
      <c r="U63" s="12"/>
      <c r="V63" s="12"/>
    </row>
    <row r="65" spans="1:8" x14ac:dyDescent="0.3">
      <c r="A65" s="17" t="s">
        <v>21</v>
      </c>
      <c r="B65" s="7"/>
    </row>
    <row r="66" spans="1:8" x14ac:dyDescent="0.3">
      <c r="A66" s="18" t="s">
        <v>2</v>
      </c>
      <c r="B66" s="18" t="s">
        <v>18</v>
      </c>
      <c r="C66" s="18" t="s">
        <v>0</v>
      </c>
      <c r="D66" s="18" t="s">
        <v>1</v>
      </c>
      <c r="E66" s="18" t="s">
        <v>3</v>
      </c>
      <c r="F66" s="18" t="s">
        <v>4</v>
      </c>
      <c r="G66" s="18" t="s">
        <v>19</v>
      </c>
      <c r="H66" s="18" t="s">
        <v>5</v>
      </c>
    </row>
    <row r="67" spans="1:8" x14ac:dyDescent="0.3">
      <c r="A67" s="2" t="s">
        <v>41</v>
      </c>
      <c r="B67" s="2">
        <v>100</v>
      </c>
      <c r="C67" s="6">
        <v>1645.79</v>
      </c>
      <c r="D67" s="6">
        <v>1660.75617352522</v>
      </c>
      <c r="E67" s="3">
        <f>D67/C67-1</f>
        <v>9.093610682541442E-3</v>
      </c>
      <c r="F67" s="5">
        <f>4.27/1000</f>
        <v>4.2699999999999995E-3</v>
      </c>
      <c r="G67" s="1">
        <v>5000</v>
      </c>
      <c r="H67" s="6">
        <f>F67 * G67</f>
        <v>21.349999999999998</v>
      </c>
    </row>
    <row r="68" spans="1:8" x14ac:dyDescent="0.3">
      <c r="A68" s="1" t="s">
        <v>42</v>
      </c>
      <c r="B68" s="2">
        <v>100</v>
      </c>
      <c r="C68" s="24">
        <v>1252.3699999999999</v>
      </c>
      <c r="D68" s="24">
        <v>1176.7066208282699</v>
      </c>
      <c r="E68" s="3">
        <f t="shared" ref="E68:E72" si="0">D68/C68-1</f>
        <v>-6.0416154308814418E-2</v>
      </c>
      <c r="F68" s="4">
        <f>10.79/1000</f>
        <v>1.0789999999999999E-2</v>
      </c>
      <c r="G68" s="1">
        <v>5000</v>
      </c>
      <c r="H68" s="6">
        <f t="shared" ref="H68:H72" si="1">F68 * G68</f>
        <v>53.949999999999996</v>
      </c>
    </row>
    <row r="69" spans="1:8" x14ac:dyDescent="0.3">
      <c r="A69" s="2" t="s">
        <v>43</v>
      </c>
      <c r="B69" s="2">
        <v>100</v>
      </c>
      <c r="C69" s="6">
        <v>828.94</v>
      </c>
      <c r="D69" s="6">
        <v>828.93686694282201</v>
      </c>
      <c r="E69" s="3">
        <f t="shared" si="0"/>
        <v>-3.7795946365992705E-6</v>
      </c>
      <c r="F69" s="4">
        <f>5.16/1000</f>
        <v>5.1600000000000005E-3</v>
      </c>
      <c r="G69" s="1">
        <v>5000</v>
      </c>
      <c r="H69" s="6">
        <f t="shared" si="1"/>
        <v>25.800000000000004</v>
      </c>
    </row>
    <row r="70" spans="1:8" x14ac:dyDescent="0.3">
      <c r="A70" s="2" t="s">
        <v>44</v>
      </c>
      <c r="B70" s="2">
        <v>100</v>
      </c>
      <c r="C70" s="6">
        <v>591.55999999999995</v>
      </c>
      <c r="D70" s="6">
        <v>591.55655667122903</v>
      </c>
      <c r="E70" s="3">
        <f t="shared" si="0"/>
        <v>-5.8207599751280981E-6</v>
      </c>
      <c r="F70" s="4">
        <f>18.95/1000</f>
        <v>1.8949999999999998E-2</v>
      </c>
      <c r="G70" s="1">
        <v>5000</v>
      </c>
      <c r="H70" s="6">
        <f t="shared" si="1"/>
        <v>94.749999999999986</v>
      </c>
    </row>
    <row r="71" spans="1:8" x14ac:dyDescent="0.3">
      <c r="A71" s="2" t="s">
        <v>45</v>
      </c>
      <c r="B71" s="2">
        <v>100</v>
      </c>
      <c r="C71" s="6">
        <v>1696.94</v>
      </c>
      <c r="D71" s="6">
        <v>1650.1981722923999</v>
      </c>
      <c r="E71" s="3">
        <f t="shared" si="0"/>
        <v>-2.7544773361226738E-2</v>
      </c>
      <c r="F71" s="4">
        <f>4.52/1000</f>
        <v>4.5199999999999997E-3</v>
      </c>
      <c r="G71" s="1">
        <v>5000</v>
      </c>
      <c r="H71" s="6">
        <f t="shared" si="1"/>
        <v>22.599999999999998</v>
      </c>
    </row>
    <row r="72" spans="1:8" x14ac:dyDescent="0.3">
      <c r="A72" s="1" t="s">
        <v>46</v>
      </c>
      <c r="B72" s="2">
        <v>100</v>
      </c>
      <c r="C72" s="24">
        <v>1406.91</v>
      </c>
      <c r="D72" s="24">
        <v>1287.63594055659</v>
      </c>
      <c r="E72" s="3">
        <f t="shared" si="0"/>
        <v>-8.4777320115295263E-2</v>
      </c>
      <c r="F72" s="4">
        <f>9.57/1000</f>
        <v>9.5700000000000004E-3</v>
      </c>
      <c r="G72" s="1">
        <v>5000</v>
      </c>
      <c r="H72" s="6">
        <f t="shared" si="1"/>
        <v>47.85</v>
      </c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  <row r="281" spans="2:2" x14ac:dyDescent="0.3">
      <c r="B281" s="7"/>
    </row>
    <row r="282" spans="2:2" x14ac:dyDescent="0.3">
      <c r="B282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2022-10-08T00:43:11Z</dcterms:modified>
</cp:coreProperties>
</file>