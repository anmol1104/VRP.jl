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F8CCF451-8549-46EE-AC6C-075C71C1ACE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2" l="1"/>
  <c r="H70" i="2" s="1"/>
  <c r="F69" i="2"/>
  <c r="F68" i="2"/>
  <c r="F67" i="2"/>
  <c r="F66" i="2"/>
  <c r="H66" i="2" s="1"/>
  <c r="F71" i="1"/>
  <c r="H71" i="1" s="1"/>
  <c r="F70" i="1"/>
  <c r="H70" i="1" s="1"/>
  <c r="F69" i="1"/>
  <c r="H69" i="1" s="1"/>
  <c r="F68" i="1"/>
  <c r="H68" i="1" s="1"/>
  <c r="F67" i="1"/>
  <c r="F66" i="1"/>
  <c r="H66" i="1" s="1"/>
  <c r="H67" i="1"/>
  <c r="H69" i="2"/>
  <c r="H68" i="2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<sst xmlns="http://schemas.openxmlformats.org/spreadsheetml/2006/main" count="163" uniqueCount="89">
  <si>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</si>
  <si>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</si>
  <si>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</si>
  <si>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</si>
  <si>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</si>
  <si>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</si>
  <si>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</si>
  <si>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</si>
  <si>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</si>
  <si>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</si>
  <si>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</si>
  <si>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</si>
  <si>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</si>
  <si>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</si>
  <si>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</si>
  <si>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</si>
  <si>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</si>
  <si>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</si>
  <si>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</si>
  <si>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</si>
  <si>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</si>
  <si>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</si>
  <si>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</si>
  <si>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</si>
  <si>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</si>
  <si>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</si>
  <si>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</si>
  <si>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</si>
  <si>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</si>
  <si>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</si>
  <si>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</si>
  <si>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</si>
  <si>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</si>
  <si>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</si>
  <si>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</si>
  <si>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</si>
  <si>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</si>
  <si>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</si>
  <si>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</si>
  <si>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</si>
  <si>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</si>
  <si>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</si>
  <si>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</si>
  <si>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</si>
  <si>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</si>
  <si>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</si>
  <si>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</si>
  <si>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</si>
  <si>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</si>
  <si>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</si>
  <si>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</si>
  <si>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</si>
  <si>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</si>
  <si>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</si>
  <si>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</si>
  <si>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</si>
  <si>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</si>
  <si>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</si>
  <si>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</si>
  <si>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</si>
  <si>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</si>
  <si>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</si>
  <si>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</si>
  <si>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</si>
  <si>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</si>
  <si>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</si>
  <si>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</si>
  <si>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</si>
  <si>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</si>
  <si>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</si>
  <si>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</si>
  <si>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</si>
  <si>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</si>
  <si>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</si>
  <si>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</si>
  <si>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</si>
  <si>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</si>
  <si>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</si>
  <si>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</si>
  <si>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</si>
  <si>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</si>
  <si>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</si>
  <si>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</si>
  <si>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</si>
  <si>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</si>
  <si>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</si>
  <si>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</si>
  <si>
    <t>                    :opt!           ,</t>
  </si>
  <si>
    <t>                    :opt!          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</si>
</sst>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abSelected="1" topLeftCell="A16" workbookViewId="0">
      <selection activeCell="F71" sqref="F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66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85</v>
      </c>
      <c r="D15" s="1"/>
    </row>
    <row r="16" spans="1:6" s="9" customFormat="1" ht="12.75" customHeight="1" x14ac:dyDescent="0.35">
      <c r="A16" s="9" t="s">
        <v>67</v>
      </c>
      <c r="C16" s="12" t="s">
        <v>68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82</v>
      </c>
      <c r="B19" s="12"/>
      <c r="W19" s="12"/>
      <c r="X19" s="12"/>
    </row>
    <row r="20" spans="1:24" s="9" customFormat="1" ht="12.75" customHeight="1" x14ac:dyDescent="0.35">
      <c r="A20" s="12" t="s">
        <v>77</v>
      </c>
      <c r="B20" s="12"/>
      <c r="W20" s="12"/>
      <c r="X20" s="12"/>
    </row>
    <row r="21" spans="1:24" s="9" customFormat="1" ht="12.75" customHeight="1" x14ac:dyDescent="0.35">
      <c r="A21" s="12" t="s">
        <v>78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75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83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76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84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16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17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88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63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10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74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79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80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11</v>
      </c>
      <c r="B54" s="12"/>
      <c r="U54" s="12"/>
      <c r="V54" s="12"/>
      <c r="W54" s="12"/>
      <c r="X54" s="12"/>
    </row>
    <row r="55" spans="1:24" ht="14" x14ac:dyDescent="0.3">
      <c r="A55" s="12" t="s">
        <v>12</v>
      </c>
      <c r="B55" s="12"/>
      <c r="U55" s="12"/>
      <c r="V55" s="12"/>
      <c r="W55" s="12"/>
      <c r="X55" s="12"/>
    </row>
    <row r="56" spans="1:24" ht="14" x14ac:dyDescent="0.3">
      <c r="A56" s="12" t="s">
        <v>86</v>
      </c>
      <c r="B56" s="12"/>
      <c r="U56" s="12"/>
      <c r="V56" s="12"/>
      <c r="W56" s="12"/>
      <c r="X56" s="12"/>
    </row>
    <row r="57" spans="1:24" ht="14" x14ac:dyDescent="0.3">
      <c r="A57" s="12" t="s">
        <v>81</v>
      </c>
      <c r="B57" s="12"/>
      <c r="U57" s="12"/>
      <c r="V57" s="12"/>
      <c r="W57" s="12"/>
      <c r="X57" s="12"/>
    </row>
    <row r="58" spans="1:24" ht="14" x14ac:dyDescent="0.3">
      <c r="A58" s="12" t="s">
        <v>13</v>
      </c>
      <c r="B58" s="12"/>
      <c r="U58" s="12"/>
      <c r="V58" s="12"/>
      <c r="W58" s="12"/>
      <c r="X58" s="12"/>
    </row>
    <row r="59" spans="1:24" ht="14" x14ac:dyDescent="0.3">
      <c r="A59" s="12" t="s">
        <v>14</v>
      </c>
      <c r="B59" s="12"/>
      <c r="U59" s="12"/>
      <c r="V59" s="12"/>
      <c r="W59" s="12"/>
      <c r="X59" s="12"/>
    </row>
    <row r="60" spans="1:24" ht="14" x14ac:dyDescent="0.3">
      <c r="A60" s="12" t="s">
        <v>15</v>
      </c>
      <c r="B60" s="12"/>
      <c r="U60" s="12"/>
      <c r="V60" s="12"/>
      <c r="W60" s="12"/>
      <c r="X60" s="12"/>
    </row>
    <row r="61" spans="1:24" ht="14" x14ac:dyDescent="0.3">
      <c r="A61" s="12" t="s">
        <v>64</v>
      </c>
      <c r="U61" s="12"/>
      <c r="V61" s="12"/>
    </row>
    <row r="62" spans="1:24" ht="14" x14ac:dyDescent="0.3">
      <c r="A62" s="12" t="s">
        <v>47</v>
      </c>
      <c r="U62" s="12"/>
      <c r="V62" s="12"/>
    </row>
    <row r="64" spans="1:24" x14ac:dyDescent="0.3">
      <c r="A64" s="17" t="s">
        <v>21</v>
      </c>
      <c r="B64" s="7"/>
    </row>
    <row r="65" spans="1:8" x14ac:dyDescent="0.3">
      <c r="A65" s="18" t="s">
        <v>2</v>
      </c>
      <c r="B65" s="18" t="s">
        <v>18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19</v>
      </c>
      <c r="H65" s="18" t="s">
        <v>5</v>
      </c>
    </row>
    <row r="66" spans="1:8" x14ac:dyDescent="0.3">
      <c r="A66" s="2" t="s">
        <v>69</v>
      </c>
      <c r="B66" s="2">
        <v>100</v>
      </c>
      <c r="C66" s="25">
        <v>820</v>
      </c>
      <c r="D66" s="25">
        <v>819.55754418732204</v>
      </c>
      <c r="E66" s="3">
        <f>D66/C66-1</f>
        <v>-5.3958025936340359E-4</v>
      </c>
      <c r="F66" s="5">
        <f>3.02/1000</f>
        <v>3.0200000000000001E-3</v>
      </c>
      <c r="G66" s="1">
        <v>5000</v>
      </c>
      <c r="H66" s="6">
        <f>F66 * G66</f>
        <v>15.100000000000001</v>
      </c>
    </row>
    <row r="67" spans="1:8" x14ac:dyDescent="0.3">
      <c r="A67" s="1" t="s">
        <v>70</v>
      </c>
      <c r="B67" s="1">
        <v>150</v>
      </c>
      <c r="C67" s="25">
        <v>3055.23</v>
      </c>
      <c r="D67" s="26">
        <v>3119.2520262377302</v>
      </c>
      <c r="E67" s="3">
        <f>D67/C67-1</f>
        <v>2.0954895781243987E-2</v>
      </c>
      <c r="F67" s="4">
        <f>8.38/1000</f>
        <v>8.3800000000000003E-3</v>
      </c>
      <c r="G67" s="1">
        <v>5000</v>
      </c>
      <c r="H67" s="6">
        <f t="shared" ref="H67:H70" si="0">F67 * G67</f>
        <v>41.9</v>
      </c>
    </row>
    <row r="68" spans="1:8" x14ac:dyDescent="0.3">
      <c r="A68" s="2" t="s">
        <v>71</v>
      </c>
      <c r="B68" s="2">
        <v>200</v>
      </c>
      <c r="C68" s="25">
        <v>1395.85</v>
      </c>
      <c r="D68" s="25">
        <v>1333.4754040789301</v>
      </c>
      <c r="E68" s="3">
        <f>D68/C68-1</f>
        <v>-4.4685744113672543E-2</v>
      </c>
      <c r="F68" s="4">
        <f>11.13/1000</f>
        <v>1.1130000000000001E-2</v>
      </c>
      <c r="G68" s="1">
        <v>5000</v>
      </c>
      <c r="H68" s="6">
        <f t="shared" si="0"/>
        <v>55.650000000000006</v>
      </c>
    </row>
    <row r="69" spans="1:8" x14ac:dyDescent="0.3">
      <c r="A69" s="1" t="s">
        <v>72</v>
      </c>
      <c r="B69" s="1">
        <v>250</v>
      </c>
      <c r="C69" s="25">
        <v>38684</v>
      </c>
      <c r="D69" s="25">
        <v>41023.472215590598</v>
      </c>
      <c r="E69" s="3">
        <f>D69/C69-1</f>
        <v>6.0476481635575396E-2</v>
      </c>
      <c r="F69" s="4">
        <f>16.54/1000</f>
        <v>1.6539999999999999E-2</v>
      </c>
      <c r="G69" s="1">
        <v>5000</v>
      </c>
      <c r="H69" s="6">
        <f t="shared" si="0"/>
        <v>82.699999999999989</v>
      </c>
    </row>
    <row r="70" spans="1:8" x14ac:dyDescent="0.3">
      <c r="A70" s="1" t="s">
        <v>73</v>
      </c>
      <c r="B70" s="7">
        <v>302</v>
      </c>
      <c r="C70" s="27">
        <v>21736</v>
      </c>
      <c r="D70" s="26">
        <v>22858.740516695099</v>
      </c>
      <c r="E70" s="3">
        <f>D70/C70-1</f>
        <v>5.1653501872244156E-2</v>
      </c>
      <c r="F70" s="4">
        <f>21.31/1000</f>
        <v>2.1309999999999999E-2</v>
      </c>
      <c r="G70" s="1">
        <v>5000</v>
      </c>
      <c r="H70" s="1">
        <f t="shared" si="0"/>
        <v>106.55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opLeftCell="A8" zoomScaleNormal="100" workbookViewId="0">
      <selection activeCell="F72" sqref="F72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65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85</v>
      </c>
      <c r="D15" s="1"/>
    </row>
    <row r="16" spans="1:6" s="9" customFormat="1" ht="12.75" customHeight="1" x14ac:dyDescent="0.35">
      <c r="A16" s="9" t="s">
        <v>39</v>
      </c>
      <c r="C16" s="12" t="s">
        <v>68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82</v>
      </c>
      <c r="B19" s="11"/>
      <c r="L19" s="12"/>
      <c r="W19" s="12"/>
      <c r="X19" s="12"/>
    </row>
    <row r="20" spans="1:24" s="9" customFormat="1" ht="12.75" customHeight="1" x14ac:dyDescent="0.35">
      <c r="A20" s="12" t="s">
        <v>77</v>
      </c>
      <c r="B20" s="11"/>
      <c r="L20" s="12"/>
      <c r="W20" s="12"/>
      <c r="X20" s="12"/>
    </row>
    <row r="21" spans="1:24" s="9" customFormat="1" ht="12.75" customHeight="1" x14ac:dyDescent="0.35">
      <c r="A21" s="12" t="s">
        <v>78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75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83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76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84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16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17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87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63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10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74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79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80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11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12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86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81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13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14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15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64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47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21</v>
      </c>
      <c r="B64" s="7"/>
    </row>
    <row r="65" spans="1:8" x14ac:dyDescent="0.3">
      <c r="A65" s="18" t="s">
        <v>2</v>
      </c>
      <c r="B65" s="18" t="s">
        <v>18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19</v>
      </c>
      <c r="H65" s="18" t="s">
        <v>5</v>
      </c>
    </row>
    <row r="66" spans="1:8" x14ac:dyDescent="0.3">
      <c r="A66" s="2" t="s">
        <v>41</v>
      </c>
      <c r="B66" s="2">
        <v>100</v>
      </c>
      <c r="C66" s="6">
        <v>1645.79</v>
      </c>
      <c r="D66" s="6">
        <v>1644.7048641157</v>
      </c>
      <c r="E66" s="3">
        <f>D66/C66-1</f>
        <v>-6.5934042879101096E-4</v>
      </c>
      <c r="F66" s="5">
        <f>5.14/1000</f>
        <v>5.1399999999999996E-3</v>
      </c>
      <c r="G66" s="1">
        <v>5000</v>
      </c>
      <c r="H66" s="6">
        <f>F66 * G66</f>
        <v>25.7</v>
      </c>
    </row>
    <row r="67" spans="1:8" x14ac:dyDescent="0.3">
      <c r="A67" s="1" t="s">
        <v>42</v>
      </c>
      <c r="B67" s="2">
        <v>100</v>
      </c>
      <c r="C67" s="24">
        <v>1252.3699999999999</v>
      </c>
      <c r="D67" s="24">
        <v>1179.9333546359801</v>
      </c>
      <c r="E67" s="3">
        <f t="shared" ref="E67:E71" si="0">D67/C67-1</f>
        <v>-5.7839652310435308E-2</v>
      </c>
      <c r="F67" s="4">
        <f>13.49/1000</f>
        <v>1.349E-2</v>
      </c>
      <c r="G67" s="1">
        <v>5000</v>
      </c>
      <c r="H67" s="6">
        <f t="shared" ref="H67:H71" si="1">F67 * G67</f>
        <v>67.45</v>
      </c>
    </row>
    <row r="68" spans="1:8" x14ac:dyDescent="0.3">
      <c r="A68" s="2" t="s">
        <v>43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5.85/1000</f>
        <v>5.8499999999999993E-3</v>
      </c>
      <c r="G68" s="1">
        <v>5000</v>
      </c>
      <c r="H68" s="6">
        <f t="shared" si="1"/>
        <v>29.249999999999996</v>
      </c>
    </row>
    <row r="69" spans="1:8" x14ac:dyDescent="0.3">
      <c r="A69" s="2" t="s">
        <v>44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21.05/1000</f>
        <v>2.1049999999999999E-2</v>
      </c>
      <c r="G69" s="1">
        <v>5000</v>
      </c>
      <c r="H69" s="6">
        <f t="shared" si="1"/>
        <v>105.25</v>
      </c>
    </row>
    <row r="70" spans="1:8" x14ac:dyDescent="0.3">
      <c r="A70" s="2" t="s">
        <v>45</v>
      </c>
      <c r="B70" s="2">
        <v>100</v>
      </c>
      <c r="C70" s="6">
        <v>1696.94</v>
      </c>
      <c r="D70" s="6">
        <v>1645.5434971790201</v>
      </c>
      <c r="E70" s="3">
        <f t="shared" si="0"/>
        <v>-3.028775491235991E-2</v>
      </c>
      <c r="F70" s="4">
        <f>5.04/1000</f>
        <v>5.0400000000000002E-3</v>
      </c>
      <c r="G70" s="1">
        <v>5000</v>
      </c>
      <c r="H70" s="6">
        <f t="shared" si="1"/>
        <v>25.2</v>
      </c>
    </row>
    <row r="71" spans="1:8" x14ac:dyDescent="0.3">
      <c r="A71" s="1" t="s">
        <v>46</v>
      </c>
      <c r="B71" s="2">
        <v>100</v>
      </c>
      <c r="C71" s="24">
        <v>1406.91</v>
      </c>
      <c r="D71" s="24">
        <v>1310.38479266175</v>
      </c>
      <c r="E71" s="3">
        <f t="shared" si="0"/>
        <v>-6.8607947443866446E-2</v>
      </c>
      <c r="F71" s="4">
        <f>10.61/1000</f>
        <v>1.061E-2</v>
      </c>
      <c r="G71" s="1">
        <v>5000</v>
      </c>
      <c r="H71" s="6">
        <f t="shared" si="1"/>
        <v>53.05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2022-10-30T21:43:12Z</dcterms:modified>
</cp:coreProperties>
</file>