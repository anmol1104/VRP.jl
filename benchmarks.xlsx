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G:\My Drive\Academia\Research\dev\VRP\"/>
    </mc:Choice>
  </mc:AlternateContent>
  <xr:revisionPtr revIDLastSave="0" documentId="13_ncr:1_{2E0A09DD-7777-48C6-BB1B-A553BE5697C6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VRP Benchmarking" sheetId="2" r:id="rId1"/>
    <sheet name="VRPTW Benchmark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0" i="2" l="1"/>
  <c r="H70" i="2" s="1"/>
  <c r="F69" i="2"/>
  <c r="F68" i="2"/>
  <c r="F67" i="2"/>
  <c r="F66" i="2"/>
  <c r="F69" i="1"/>
  <c r="F68" i="1"/>
  <c r="H68" i="1" s="1"/>
  <c r="F66" i="1"/>
  <c r="F67" i="1"/>
  <c r="F70" i="1"/>
  <c r="F71" i="1"/>
  <c r="H71" i="1" s="1"/>
  <c r="H66" i="2"/>
  <c r="H70" i="1"/>
  <c r="H67" i="1"/>
  <c r="H69" i="1"/>
  <c r="H66" i="1"/>
  <c r="H69" i="2"/>
  <c r="H68" i="2"/>
  <c r="H67" i="2"/>
  <c r="E70" i="2"/>
  <c r="E69" i="2"/>
  <c r="E68" i="2"/>
  <c r="E67" i="2"/>
  <c r="E66" i="2"/>
  <c r="E67" i="1"/>
  <c r="E68" i="1"/>
  <c r="E69" i="1"/>
  <c r="E70" i="1"/>
  <c r="E71" i="1"/>
  <c r="E66" i="1"/>
</calcChain>
</file>

<file path=xl/sharedStrings.xml><?xml version="1.0" encoding="utf-8"?>
<sst xmlns="http://schemas.openxmlformats.org/spreadsheetml/2006/main" count="163" uniqueCount="88">
  <si>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</si>
  <si>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</si>
  <si>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</si>
  <si>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</si>
  <si>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</si>
  <si>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</si>
  <si>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</si>
  <si>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</si>
  <si>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</si>
  <si>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</si>
  <si>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ω   =   0.05                    ,</t>
  </si>
  <si>
    <t>        τ   =   0.5                     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</si>
  <si>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</si>
  <si>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</si>
  <si>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</si>
  <si>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</si>
  <si>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Size</t>
  </si>
  <si>
    <t>Iterations</t>
  </si>
  <si>
    <t>ALNS parameters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</si>
  <si>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</si>
  <si>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</si>
  <si>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</si>
  <si>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</si>
  <si>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</si>
  <si>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</si>
  <si>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</si>
  <si>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</si>
  <si>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</si>
  <si>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</si>
  <si>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</si>
  <si>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</si>
  <si>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</si>
  <si>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</si>
  <si>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</si>
  <si>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</si>
  <si>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</si>
  <si>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</si>
  <si>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</si>
  <si>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rng</t>
  </si>
  <si>
    <t>r101</t>
  </si>
  <si>
    <t>r201</t>
  </si>
  <si>
    <t>c101</t>
  </si>
  <si>
    <t>c201</t>
  </si>
  <si>
    <t>rc101</t>
  </si>
  <si>
    <t>rc201</t>
  </si>
  <si>
    <t>    );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</si>
  <si>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</si>
  <si>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</si>
  <si>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</si>
  <si>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</si>
  <si>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</si>
  <si>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</si>
  <si>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</si>
  <si>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</si>
  <si>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</si>
  <si>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</si>
  <si>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</si>
  <si>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</si>
  <si>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</si>
  <si>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:regret2!       ,</t>
  </si>
  <si>
    <t>                    :regret3!</t>
  </si>
  <si>
    <t>        ρ   =   0.1</t>
  </si>
  <si>
    <t>Vehicle Routing Problem with Time-Windows (VRPTW) Benchmarking</t>
  </si>
  <si>
    <t>Vehicle Routing Problem (VRP) Benchmarking</t>
  </si>
  <si>
    <t>Initializtion</t>
  </si>
  <si>
    <t>:random</t>
  </si>
  <si>
    <t>m-n101-k10</t>
  </si>
  <si>
    <t>tai150a</t>
  </si>
  <si>
    <t>cmt10</t>
  </si>
  <si>
    <t>x-n251-k28</t>
  </si>
  <si>
    <t>x-n303-k21</t>
  </si>
  <si>
    <t>        σ₁  =   15                      ,</t>
  </si>
  <si>
    <t>                    :bestprecise!   ,</t>
  </si>
  <si>
    <t>                    :greedyprecise! ,</t>
  </si>
  <si>
    <t>    n = max(500, ceil(x, digits=-(length(digits(x))-1)));</t>
  </si>
  <si>
    <t>    χ = ALNSParameters(</t>
  </si>
  <si>
    <t>        σ₂  =   10                      ,</t>
  </si>
  <si>
    <t>        σ₃  =   3                       ,</t>
  </si>
  <si>
    <t>        C̲   =   4                       ,</t>
  </si>
  <si>
    <t>    x = length(N)</t>
  </si>
  <si>
    <t>                    :bestperturb!   ,</t>
  </si>
  <si>
    <t>                    :greedyperturb! ,</t>
  </si>
  <si>
    <t>MersenneTwister(1104); MersenneTwister(1234); MersenneTwister(1403)</t>
  </si>
  <si>
    <t>        𝜃   =   0.9975                 ,</t>
  </si>
  <si>
    <t>                    :intraopt!          ,</t>
  </si>
  <si>
    <t>                    :interopt!          ,</t>
  </si>
  <si>
    <t>                    :movecustomer!      ,</t>
  </si>
  <si>
    <t>                    :swapcustomers!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</si>
</sst>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  <xf numFmtId="1" fontId="1" fillId="0" borderId="2" xfId="0" applyNumberFormat="1" applyFont="1" applyBorder="1"/>
    <xf numFmtId="1" fontId="1" fillId="0" borderId="1" xfId="0" applyNumberFormat="1" applyFont="1" applyBorder="1"/>
    <xf numFmtId="0" fontId="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8D86-1312-4781-AFB7-1DCAC26244E4}">
  <dimension ref="A1:X275"/>
  <sheetViews>
    <sheetView tabSelected="1" topLeftCell="A16" workbookViewId="0">
      <selection activeCell="F71" sqref="F71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63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20</v>
      </c>
    </row>
    <row r="4" spans="1:6" x14ac:dyDescent="0.3">
      <c r="A4" s="1" t="s">
        <v>21</v>
      </c>
      <c r="B4" s="13"/>
      <c r="C4" s="1" t="s">
        <v>22</v>
      </c>
      <c r="D4" s="2"/>
      <c r="E4" s="2"/>
      <c r="F4" s="2"/>
    </row>
    <row r="5" spans="1:6" x14ac:dyDescent="0.3">
      <c r="A5" s="1" t="s">
        <v>23</v>
      </c>
      <c r="B5" s="13"/>
      <c r="C5" s="1" t="s">
        <v>26</v>
      </c>
      <c r="D5" s="2"/>
      <c r="E5" s="2"/>
      <c r="F5" s="2"/>
    </row>
    <row r="6" spans="1:6" s="9" customFormat="1" ht="12.75" customHeight="1" x14ac:dyDescent="0.35">
      <c r="A6" s="9" t="s">
        <v>24</v>
      </c>
      <c r="C6" s="9" t="s">
        <v>25</v>
      </c>
    </row>
    <row r="7" spans="1:6" s="9" customFormat="1" ht="12.75" customHeight="1" x14ac:dyDescent="0.35"/>
    <row r="8" spans="1:6" s="9" customFormat="1" ht="12.75" customHeight="1" x14ac:dyDescent="0.35">
      <c r="A8" s="23" t="s">
        <v>31</v>
      </c>
    </row>
    <row r="9" spans="1:6" s="9" customFormat="1" ht="12.75" customHeight="1" x14ac:dyDescent="0.3">
      <c r="A9" s="1" t="s">
        <v>27</v>
      </c>
      <c r="B9" s="1"/>
      <c r="C9" s="1" t="s">
        <v>28</v>
      </c>
      <c r="D9" s="1"/>
    </row>
    <row r="10" spans="1:6" s="9" customFormat="1" ht="12.75" customHeight="1" x14ac:dyDescent="0.3">
      <c r="A10" s="1" t="s">
        <v>29</v>
      </c>
      <c r="B10" s="1"/>
      <c r="C10" s="1" t="s">
        <v>30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36</v>
      </c>
      <c r="B12" s="1"/>
      <c r="C12" s="1"/>
      <c r="D12" s="1"/>
    </row>
    <row r="13" spans="1:6" s="9" customFormat="1" ht="12.75" customHeight="1" x14ac:dyDescent="0.3">
      <c r="A13" s="1" t="s">
        <v>34</v>
      </c>
      <c r="B13" s="1"/>
      <c r="C13" s="1" t="s">
        <v>35</v>
      </c>
      <c r="D13" s="1"/>
    </row>
    <row r="14" spans="1:6" s="9" customFormat="1" ht="12.75" customHeight="1" x14ac:dyDescent="0.3">
      <c r="A14" s="1" t="s">
        <v>33</v>
      </c>
      <c r="B14" s="1"/>
      <c r="C14" s="1" t="s">
        <v>32</v>
      </c>
      <c r="D14" s="1"/>
    </row>
    <row r="15" spans="1:6" s="9" customFormat="1" ht="12.75" customHeight="1" x14ac:dyDescent="0.3">
      <c r="A15" s="1" t="s">
        <v>38</v>
      </c>
      <c r="B15" s="1"/>
      <c r="C15" s="12" t="s">
        <v>82</v>
      </c>
      <c r="D15" s="1"/>
    </row>
    <row r="16" spans="1:6" s="9" customFormat="1" ht="12.75" customHeight="1" x14ac:dyDescent="0.35">
      <c r="A16" s="9" t="s">
        <v>64</v>
      </c>
      <c r="C16" s="12" t="s">
        <v>65</v>
      </c>
    </row>
    <row r="17" spans="1:24" s="9" customFormat="1" ht="12.75" customHeight="1" x14ac:dyDescent="0.3">
      <c r="A17" s="22"/>
      <c r="B17" s="12"/>
      <c r="C17" s="12"/>
      <c r="D17" s="1"/>
      <c r="E17" s="1"/>
      <c r="F17" s="1"/>
      <c r="G17" s="1"/>
      <c r="H17" s="1"/>
    </row>
    <row r="18" spans="1:24" s="9" customFormat="1" ht="12.75" customHeight="1" x14ac:dyDescent="0.35">
      <c r="A18" s="10" t="s">
        <v>18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79</v>
      </c>
      <c r="B19" s="12"/>
      <c r="W19" s="12"/>
      <c r="X19" s="12"/>
    </row>
    <row r="20" spans="1:24" s="9" customFormat="1" ht="12.75" customHeight="1" x14ac:dyDescent="0.35">
      <c r="A20" s="12" t="s">
        <v>74</v>
      </c>
      <c r="B20" s="12"/>
      <c r="W20" s="12"/>
      <c r="X20" s="12"/>
    </row>
    <row r="21" spans="1:24" s="9" customFormat="1" ht="12.75" customHeight="1" x14ac:dyDescent="0.35">
      <c r="A21" s="12" t="s">
        <v>75</v>
      </c>
      <c r="B21" s="12"/>
      <c r="U21" s="12"/>
      <c r="V21" s="12"/>
      <c r="W21" s="12"/>
      <c r="X21" s="12"/>
    </row>
    <row r="22" spans="1:24" s="9" customFormat="1" ht="12.75" customHeight="1" x14ac:dyDescent="0.35">
      <c r="A22" s="12" t="s">
        <v>46</v>
      </c>
      <c r="B22" s="12"/>
      <c r="U22" s="12"/>
      <c r="V22" s="12"/>
      <c r="W22" s="12"/>
      <c r="X22" s="12"/>
    </row>
    <row r="23" spans="1:24" s="9" customFormat="1" ht="12.75" customHeight="1" x14ac:dyDescent="0.35">
      <c r="A23" s="12" t="s">
        <v>47</v>
      </c>
      <c r="B23" s="12"/>
      <c r="H23" s="12"/>
      <c r="U23" s="12"/>
      <c r="V23" s="12"/>
      <c r="W23" s="12"/>
      <c r="X23" s="12"/>
    </row>
    <row r="24" spans="1:24" s="9" customFormat="1" ht="12.75" customHeight="1" x14ac:dyDescent="0.35">
      <c r="A24" s="12" t="s">
        <v>48</v>
      </c>
      <c r="B24" s="12"/>
      <c r="H24" s="12"/>
      <c r="U24" s="12"/>
      <c r="V24" s="12"/>
      <c r="W24" s="12"/>
      <c r="X24" s="12"/>
    </row>
    <row r="25" spans="1:24" s="9" customFormat="1" ht="12.75" customHeight="1" x14ac:dyDescent="0.35">
      <c r="A25" s="12" t="s">
        <v>49</v>
      </c>
      <c r="B25" s="12"/>
      <c r="H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H26" s="12"/>
      <c r="U26" s="12"/>
      <c r="V26" s="12"/>
      <c r="W26" s="12"/>
      <c r="X26" s="12"/>
    </row>
    <row r="27" spans="1:24" s="9" customFormat="1" ht="12.75" customHeight="1" x14ac:dyDescent="0.35">
      <c r="A27" s="12" t="s">
        <v>50</v>
      </c>
      <c r="B27" s="12"/>
      <c r="U27" s="12"/>
      <c r="V27" s="12"/>
      <c r="W27" s="12"/>
      <c r="X27" s="12"/>
    </row>
    <row r="28" spans="1:24" s="9" customFormat="1" ht="12.75" customHeight="1" x14ac:dyDescent="0.35">
      <c r="A28" s="12" t="s">
        <v>51</v>
      </c>
      <c r="B28" s="12"/>
      <c r="U28" s="12"/>
      <c r="V28" s="12"/>
      <c r="W28" s="12"/>
      <c r="X28" s="12"/>
    </row>
    <row r="29" spans="1:24" s="9" customFormat="1" ht="12.75" customHeight="1" x14ac:dyDescent="0.35">
      <c r="A29" s="12" t="s">
        <v>52</v>
      </c>
      <c r="B29" s="12"/>
      <c r="U29" s="12"/>
      <c r="V29" s="12"/>
      <c r="W29" s="12"/>
      <c r="X29" s="12"/>
    </row>
    <row r="30" spans="1:24" s="9" customFormat="1" ht="12.75" customHeight="1" x14ac:dyDescent="0.35">
      <c r="A30" s="12" t="s">
        <v>53</v>
      </c>
      <c r="B30" s="12"/>
      <c r="U30" s="12"/>
      <c r="V30" s="12"/>
      <c r="W30" s="12"/>
      <c r="X30" s="12"/>
    </row>
    <row r="31" spans="1:24" s="9" customFormat="1" ht="12.75" customHeight="1" x14ac:dyDescent="0.35">
      <c r="A31" s="12" t="s">
        <v>54</v>
      </c>
      <c r="B31" s="12"/>
      <c r="U31" s="12"/>
      <c r="V31" s="12"/>
      <c r="W31" s="12"/>
      <c r="X31" s="12"/>
    </row>
    <row r="32" spans="1:24" s="9" customFormat="1" ht="12.75" customHeight="1" x14ac:dyDescent="0.35">
      <c r="A32" s="12" t="s">
        <v>55</v>
      </c>
      <c r="B32" s="12"/>
      <c r="U32" s="12"/>
      <c r="V32" s="12"/>
      <c r="W32" s="12"/>
      <c r="X32" s="12"/>
    </row>
    <row r="33" spans="1:24" s="9" customFormat="1" ht="12.75" customHeight="1" x14ac:dyDescent="0.35">
      <c r="A33" s="12" t="s">
        <v>56</v>
      </c>
      <c r="B33" s="12"/>
      <c r="U33" s="12"/>
      <c r="V33" s="12"/>
      <c r="W33" s="12"/>
      <c r="X33" s="12"/>
    </row>
    <row r="34" spans="1:24" s="9" customFormat="1" ht="12.75" customHeight="1" x14ac:dyDescent="0.35">
      <c r="A34" s="12" t="s">
        <v>57</v>
      </c>
      <c r="B34" s="12"/>
      <c r="U34" s="12"/>
      <c r="V34" s="12"/>
      <c r="W34" s="12"/>
      <c r="X34" s="12"/>
    </row>
    <row r="35" spans="1:24" s="9" customFormat="1" ht="12.75" customHeight="1" x14ac:dyDescent="0.35">
      <c r="A35" s="12" t="s">
        <v>58</v>
      </c>
      <c r="B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U37" s="12"/>
      <c r="V37" s="12"/>
      <c r="W37" s="12"/>
      <c r="X37" s="12"/>
    </row>
    <row r="38" spans="1:24" s="9" customFormat="1" ht="12.75" customHeight="1" x14ac:dyDescent="0.35">
      <c r="A38" s="12" t="s">
        <v>72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80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73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81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59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60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H44" s="9"/>
      <c r="U44" s="12"/>
      <c r="V44" s="12"/>
      <c r="W44" s="12"/>
      <c r="X44" s="12"/>
    </row>
    <row r="45" spans="1:24" ht="14" x14ac:dyDescent="0.3">
      <c r="A45" s="12" t="s">
        <v>15</v>
      </c>
      <c r="B45" s="12"/>
      <c r="H45" s="9"/>
      <c r="U45" s="12"/>
      <c r="V45" s="12"/>
      <c r="W45" s="12"/>
      <c r="X45" s="12"/>
    </row>
    <row r="46" spans="1:24" ht="14" x14ac:dyDescent="0.3">
      <c r="A46" s="12" t="s">
        <v>84</v>
      </c>
      <c r="B46" s="12"/>
      <c r="H46" s="9"/>
      <c r="U46" s="12"/>
      <c r="V46" s="12"/>
      <c r="W46" s="12"/>
      <c r="X46" s="12"/>
    </row>
    <row r="47" spans="1:24" ht="14" x14ac:dyDescent="0.3">
      <c r="A47" s="12" t="s">
        <v>85</v>
      </c>
      <c r="B47" s="12"/>
      <c r="H47" s="9"/>
      <c r="U47" s="12"/>
      <c r="V47" s="12"/>
      <c r="W47" s="12"/>
      <c r="X47" s="12"/>
    </row>
    <row r="48" spans="1:24" ht="14" x14ac:dyDescent="0.3">
      <c r="A48" s="12" t="s">
        <v>86</v>
      </c>
      <c r="B48" s="12"/>
      <c r="H48" s="9"/>
      <c r="U48" s="12"/>
      <c r="V48" s="12"/>
      <c r="W48" s="12"/>
      <c r="X48" s="12"/>
    </row>
    <row r="49" spans="1:24" ht="14" x14ac:dyDescent="0.3">
      <c r="A49" s="12" t="s">
        <v>87</v>
      </c>
      <c r="B49" s="12"/>
      <c r="H49" s="9"/>
      <c r="U49" s="12"/>
      <c r="V49" s="12"/>
      <c r="W49" s="12"/>
      <c r="X49" s="12"/>
    </row>
    <row r="50" spans="1:24" ht="14" x14ac:dyDescent="0.3">
      <c r="A50" s="12" t="s">
        <v>7</v>
      </c>
      <c r="B50" s="12"/>
      <c r="H50" s="9"/>
      <c r="U50" s="12"/>
      <c r="V50" s="12"/>
      <c r="W50" s="12"/>
      <c r="X50" s="12"/>
    </row>
    <row r="51" spans="1:24" ht="14" x14ac:dyDescent="0.3">
      <c r="A51" s="12" t="s">
        <v>71</v>
      </c>
      <c r="B51" s="12"/>
      <c r="H51" s="9"/>
      <c r="U51" s="12"/>
      <c r="V51" s="12"/>
      <c r="W51" s="12"/>
      <c r="X51" s="12"/>
    </row>
    <row r="52" spans="1:24" ht="14" x14ac:dyDescent="0.3">
      <c r="A52" s="12" t="s">
        <v>76</v>
      </c>
      <c r="B52" s="12"/>
      <c r="H52" s="9"/>
      <c r="U52" s="12"/>
      <c r="V52" s="12"/>
      <c r="W52" s="12"/>
      <c r="X52" s="12"/>
    </row>
    <row r="53" spans="1:24" ht="14" x14ac:dyDescent="0.3">
      <c r="A53" s="12" t="s">
        <v>77</v>
      </c>
      <c r="B53" s="12"/>
      <c r="H53" s="9"/>
      <c r="U53" s="12"/>
      <c r="V53" s="12"/>
      <c r="W53" s="12"/>
      <c r="X53" s="12"/>
    </row>
    <row r="54" spans="1:24" ht="14" x14ac:dyDescent="0.3">
      <c r="A54" s="12" t="s">
        <v>10</v>
      </c>
      <c r="B54" s="12"/>
      <c r="U54" s="12"/>
      <c r="V54" s="12"/>
      <c r="W54" s="12"/>
      <c r="X54" s="12"/>
    </row>
    <row r="55" spans="1:24" ht="14" x14ac:dyDescent="0.3">
      <c r="A55" s="12" t="s">
        <v>11</v>
      </c>
      <c r="B55" s="12"/>
      <c r="U55" s="12"/>
      <c r="V55" s="12"/>
      <c r="W55" s="12"/>
      <c r="X55" s="12"/>
    </row>
    <row r="56" spans="1:24" ht="14" x14ac:dyDescent="0.3">
      <c r="A56" s="12" t="s">
        <v>83</v>
      </c>
      <c r="B56" s="12"/>
      <c r="U56" s="12"/>
      <c r="V56" s="12"/>
      <c r="W56" s="12"/>
      <c r="X56" s="12"/>
    </row>
    <row r="57" spans="1:24" ht="14" x14ac:dyDescent="0.3">
      <c r="A57" s="12" t="s">
        <v>78</v>
      </c>
      <c r="B57" s="12"/>
      <c r="U57" s="12"/>
      <c r="V57" s="12"/>
      <c r="W57" s="12"/>
      <c r="X57" s="12"/>
    </row>
    <row r="58" spans="1:24" ht="14" x14ac:dyDescent="0.3">
      <c r="A58" s="12" t="s">
        <v>12</v>
      </c>
      <c r="B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U60" s="12"/>
      <c r="V60" s="12"/>
      <c r="W60" s="12"/>
      <c r="X60" s="12"/>
    </row>
    <row r="61" spans="1:24" ht="14" x14ac:dyDescent="0.3">
      <c r="A61" s="12" t="s">
        <v>61</v>
      </c>
      <c r="U61" s="12"/>
      <c r="V61" s="12"/>
    </row>
    <row r="62" spans="1:24" ht="14" x14ac:dyDescent="0.3">
      <c r="A62" s="12" t="s">
        <v>45</v>
      </c>
      <c r="U62" s="12"/>
      <c r="V62" s="12"/>
    </row>
    <row r="64" spans="1:24" x14ac:dyDescent="0.3">
      <c r="A64" s="17" t="s">
        <v>19</v>
      </c>
      <c r="B64" s="7"/>
    </row>
    <row r="65" spans="1:8" x14ac:dyDescent="0.3">
      <c r="A65" s="18" t="s">
        <v>2</v>
      </c>
      <c r="B65" s="18" t="s">
        <v>16</v>
      </c>
      <c r="C65" s="18" t="s">
        <v>0</v>
      </c>
      <c r="D65" s="18" t="s">
        <v>1</v>
      </c>
      <c r="E65" s="18" t="s">
        <v>3</v>
      </c>
      <c r="F65" s="18" t="s">
        <v>4</v>
      </c>
      <c r="G65" s="18" t="s">
        <v>17</v>
      </c>
      <c r="H65" s="18" t="s">
        <v>5</v>
      </c>
    </row>
    <row r="66" spans="1:8" x14ac:dyDescent="0.3">
      <c r="A66" s="2" t="s">
        <v>66</v>
      </c>
      <c r="B66" s="2">
        <v>100</v>
      </c>
      <c r="C66" s="25">
        <v>820</v>
      </c>
      <c r="D66" s="25">
        <v>819.55754418729703</v>
      </c>
      <c r="E66" s="3">
        <f>D66/C66-1</f>
        <v>-5.395802593938237E-4</v>
      </c>
      <c r="F66" s="5">
        <f>3.68/1000</f>
        <v>3.6800000000000001E-3</v>
      </c>
      <c r="G66" s="1">
        <v>5000</v>
      </c>
      <c r="H66" s="6">
        <f>F66 * G66</f>
        <v>18.400000000000002</v>
      </c>
    </row>
    <row r="67" spans="1:8" x14ac:dyDescent="0.3">
      <c r="A67" s="1" t="s">
        <v>67</v>
      </c>
      <c r="B67" s="1">
        <v>150</v>
      </c>
      <c r="C67" s="25">
        <v>3055.23</v>
      </c>
      <c r="D67" s="26">
        <v>3077.5661725801101</v>
      </c>
      <c r="E67" s="3">
        <f>D67/C67-1</f>
        <v>7.3107990495346886E-3</v>
      </c>
      <c r="F67" s="4">
        <f>9.33/1000</f>
        <v>9.3299999999999998E-3</v>
      </c>
      <c r="G67" s="1">
        <v>5000</v>
      </c>
      <c r="H67" s="6">
        <f t="shared" ref="H67:H70" si="0">F67 * G67</f>
        <v>46.65</v>
      </c>
    </row>
    <row r="68" spans="1:8" x14ac:dyDescent="0.3">
      <c r="A68" s="2" t="s">
        <v>68</v>
      </c>
      <c r="B68" s="2">
        <v>200</v>
      </c>
      <c r="C68" s="25">
        <v>1395.85</v>
      </c>
      <c r="D68" s="25">
        <v>1348.13445874081</v>
      </c>
      <c r="E68" s="3">
        <f>D68/C68-1</f>
        <v>-3.4183860199297866E-2</v>
      </c>
      <c r="F68" s="4">
        <f>12.41/1000</f>
        <v>1.2410000000000001E-2</v>
      </c>
      <c r="G68" s="1">
        <v>5000</v>
      </c>
      <c r="H68" s="6">
        <f t="shared" si="0"/>
        <v>62.050000000000004</v>
      </c>
    </row>
    <row r="69" spans="1:8" x14ac:dyDescent="0.3">
      <c r="A69" s="1" t="s">
        <v>69</v>
      </c>
      <c r="B69" s="1">
        <v>250</v>
      </c>
      <c r="C69" s="25">
        <v>38684</v>
      </c>
      <c r="D69" s="25">
        <v>40435.213384017603</v>
      </c>
      <c r="E69" s="3">
        <f>D69/C69-1</f>
        <v>4.5269707993423669E-2</v>
      </c>
      <c r="F69" s="4">
        <f>18.23/1000</f>
        <v>1.823E-2</v>
      </c>
      <c r="G69" s="1">
        <v>5000</v>
      </c>
      <c r="H69" s="6">
        <f t="shared" si="0"/>
        <v>91.149999999999991</v>
      </c>
    </row>
    <row r="70" spans="1:8" x14ac:dyDescent="0.3">
      <c r="A70" s="1" t="s">
        <v>70</v>
      </c>
      <c r="B70" s="7">
        <v>302</v>
      </c>
      <c r="C70" s="27">
        <v>21736</v>
      </c>
      <c r="D70" s="26">
        <v>22900.663691351499</v>
      </c>
      <c r="E70" s="3">
        <f>D70/C70-1</f>
        <v>5.3582245645541926E-2</v>
      </c>
      <c r="F70" s="4">
        <f>23.94/1000</f>
        <v>2.3940000000000003E-2</v>
      </c>
      <c r="G70" s="1">
        <v>5000</v>
      </c>
      <c r="H70" s="1">
        <f t="shared" si="0"/>
        <v>119.70000000000002</v>
      </c>
    </row>
    <row r="71" spans="1:8" x14ac:dyDescent="0.3">
      <c r="B71" s="7"/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1"/>
  <sheetViews>
    <sheetView topLeftCell="A17" zoomScaleNormal="100" workbookViewId="0">
      <selection activeCell="G45" sqref="G45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62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20</v>
      </c>
    </row>
    <row r="4" spans="1:6" x14ac:dyDescent="0.3">
      <c r="A4" s="1" t="s">
        <v>21</v>
      </c>
      <c r="B4" s="13"/>
      <c r="C4" s="1" t="s">
        <v>22</v>
      </c>
      <c r="D4" s="2"/>
      <c r="E4" s="2"/>
      <c r="F4" s="2"/>
    </row>
    <row r="5" spans="1:6" x14ac:dyDescent="0.3">
      <c r="A5" s="1" t="s">
        <v>23</v>
      </c>
      <c r="B5" s="13"/>
      <c r="C5" s="1" t="s">
        <v>26</v>
      </c>
      <c r="D5" s="2"/>
      <c r="E5" s="2"/>
      <c r="F5" s="2"/>
    </row>
    <row r="6" spans="1:6" s="9" customFormat="1" ht="12.75" customHeight="1" x14ac:dyDescent="0.35">
      <c r="A6" s="9" t="s">
        <v>24</v>
      </c>
      <c r="C6" s="9" t="s">
        <v>25</v>
      </c>
    </row>
    <row r="7" spans="1:6" s="9" customFormat="1" ht="12.75" customHeight="1" x14ac:dyDescent="0.35"/>
    <row r="8" spans="1:6" s="9" customFormat="1" ht="12.75" customHeight="1" x14ac:dyDescent="0.35">
      <c r="A8" s="23" t="s">
        <v>31</v>
      </c>
    </row>
    <row r="9" spans="1:6" s="9" customFormat="1" ht="12.75" customHeight="1" x14ac:dyDescent="0.3">
      <c r="A9" s="1" t="s">
        <v>27</v>
      </c>
      <c r="B9" s="1"/>
      <c r="C9" s="1" t="s">
        <v>28</v>
      </c>
      <c r="D9" s="1"/>
    </row>
    <row r="10" spans="1:6" s="9" customFormat="1" ht="12.75" customHeight="1" x14ac:dyDescent="0.3">
      <c r="A10" s="1" t="s">
        <v>29</v>
      </c>
      <c r="B10" s="1"/>
      <c r="C10" s="1" t="s">
        <v>30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36</v>
      </c>
      <c r="B12" s="1"/>
      <c r="C12" s="1"/>
      <c r="D12" s="1"/>
    </row>
    <row r="13" spans="1:6" s="9" customFormat="1" ht="12.75" customHeight="1" x14ac:dyDescent="0.3">
      <c r="A13" s="1" t="s">
        <v>34</v>
      </c>
      <c r="B13" s="1"/>
      <c r="C13" s="1" t="s">
        <v>35</v>
      </c>
      <c r="D13" s="1"/>
    </row>
    <row r="14" spans="1:6" s="9" customFormat="1" ht="12.75" customHeight="1" x14ac:dyDescent="0.3">
      <c r="A14" s="1" t="s">
        <v>33</v>
      </c>
      <c r="B14" s="1"/>
      <c r="C14" s="1" t="s">
        <v>32</v>
      </c>
      <c r="D14" s="1"/>
    </row>
    <row r="15" spans="1:6" s="9" customFormat="1" ht="12.75" customHeight="1" x14ac:dyDescent="0.3">
      <c r="A15" s="1" t="s">
        <v>38</v>
      </c>
      <c r="B15" s="1"/>
      <c r="C15" s="12" t="s">
        <v>82</v>
      </c>
      <c r="D15" s="1"/>
    </row>
    <row r="16" spans="1:6" s="9" customFormat="1" ht="12.75" customHeight="1" x14ac:dyDescent="0.35">
      <c r="A16" s="9" t="s">
        <v>37</v>
      </c>
      <c r="C16" s="12" t="s">
        <v>65</v>
      </c>
    </row>
    <row r="17" spans="1:24" s="9" customFormat="1" ht="12.75" customHeight="1" x14ac:dyDescent="0.35">
      <c r="B17" s="8"/>
    </row>
    <row r="18" spans="1:24" s="9" customFormat="1" ht="12.75" customHeight="1" x14ac:dyDescent="0.35">
      <c r="A18" s="10" t="s">
        <v>18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79</v>
      </c>
      <c r="B19" s="11"/>
      <c r="L19" s="12"/>
      <c r="W19" s="12"/>
      <c r="X19" s="12"/>
    </row>
    <row r="20" spans="1:24" s="9" customFormat="1" ht="12.75" customHeight="1" x14ac:dyDescent="0.35">
      <c r="A20" s="12" t="s">
        <v>74</v>
      </c>
      <c r="B20" s="11"/>
      <c r="L20" s="12"/>
      <c r="W20" s="12"/>
      <c r="X20" s="12"/>
    </row>
    <row r="21" spans="1:24" s="9" customFormat="1" ht="12.75" customHeight="1" x14ac:dyDescent="0.35">
      <c r="A21" s="12" t="s">
        <v>75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35">
      <c r="A22" s="12" t="s">
        <v>46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35">
      <c r="A23" s="12" t="s">
        <v>47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35">
      <c r="A24" s="12" t="s">
        <v>48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35">
      <c r="A25" s="12" t="s">
        <v>49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35">
      <c r="A27" s="12" t="s">
        <v>50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35">
      <c r="A28" s="12" t="s">
        <v>51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35">
      <c r="A29" s="12" t="s">
        <v>52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35">
      <c r="A30" s="12" t="s">
        <v>53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35">
      <c r="A31" s="12" t="s">
        <v>54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35">
      <c r="A32" s="12" t="s">
        <v>55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35">
      <c r="A33" s="12" t="s">
        <v>56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35">
      <c r="A34" s="12" t="s">
        <v>57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35">
      <c r="A35" s="12" t="s">
        <v>58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35">
      <c r="A38" s="12" t="s">
        <v>72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80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73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81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59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60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" x14ac:dyDescent="0.3">
      <c r="A45" s="12" t="s">
        <v>15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" x14ac:dyDescent="0.3">
      <c r="A46" s="12" t="s">
        <v>84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" x14ac:dyDescent="0.3">
      <c r="A47" s="12" t="s">
        <v>85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" x14ac:dyDescent="0.3">
      <c r="A48" s="12" t="s">
        <v>86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" x14ac:dyDescent="0.3">
      <c r="A49" s="12" t="s">
        <v>87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" x14ac:dyDescent="0.3">
      <c r="A50" s="12" t="s">
        <v>7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" x14ac:dyDescent="0.3">
      <c r="A51" s="12" t="s">
        <v>71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" x14ac:dyDescent="0.3">
      <c r="A52" s="12" t="s">
        <v>76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" x14ac:dyDescent="0.3">
      <c r="A53" s="12" t="s">
        <v>77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" x14ac:dyDescent="0.3">
      <c r="A54" s="12" t="s">
        <v>10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" x14ac:dyDescent="0.3">
      <c r="A55" s="12" t="s">
        <v>11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" x14ac:dyDescent="0.3">
      <c r="A56" s="12" t="s">
        <v>83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" x14ac:dyDescent="0.3">
      <c r="A57" s="12" t="s">
        <v>78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" x14ac:dyDescent="0.3">
      <c r="A58" s="12" t="s">
        <v>12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C60" s="12"/>
      <c r="D60" s="12"/>
      <c r="E60" s="12"/>
      <c r="F60" s="12"/>
      <c r="G60" s="12"/>
      <c r="H60" s="12"/>
      <c r="L60" s="12"/>
      <c r="U60" s="12"/>
      <c r="V60" s="12"/>
      <c r="W60" s="12"/>
      <c r="X60" s="12"/>
    </row>
    <row r="61" spans="1:24" ht="14" x14ac:dyDescent="0.3">
      <c r="A61" s="12" t="s">
        <v>61</v>
      </c>
      <c r="B61" s="12"/>
      <c r="C61" s="12"/>
      <c r="D61" s="12"/>
      <c r="E61" s="12"/>
      <c r="F61" s="12"/>
      <c r="G61" s="12"/>
      <c r="H61" s="12"/>
      <c r="U61" s="12"/>
      <c r="V61" s="12"/>
    </row>
    <row r="62" spans="1:24" ht="14" x14ac:dyDescent="0.3">
      <c r="A62" s="12" t="s">
        <v>45</v>
      </c>
      <c r="B62" s="12"/>
      <c r="C62" s="12"/>
      <c r="D62" s="12"/>
      <c r="E62" s="12"/>
      <c r="F62" s="12"/>
      <c r="G62" s="12"/>
      <c r="H62" s="12"/>
      <c r="U62" s="12"/>
      <c r="V62" s="12"/>
    </row>
    <row r="64" spans="1:24" x14ac:dyDescent="0.3">
      <c r="A64" s="17" t="s">
        <v>19</v>
      </c>
      <c r="B64" s="7"/>
    </row>
    <row r="65" spans="1:8" x14ac:dyDescent="0.3">
      <c r="A65" s="18" t="s">
        <v>2</v>
      </c>
      <c r="B65" s="18" t="s">
        <v>16</v>
      </c>
      <c r="C65" s="18" t="s">
        <v>0</v>
      </c>
      <c r="D65" s="18" t="s">
        <v>1</v>
      </c>
      <c r="E65" s="18" t="s">
        <v>3</v>
      </c>
      <c r="F65" s="18" t="s">
        <v>4</v>
      </c>
      <c r="G65" s="18" t="s">
        <v>17</v>
      </c>
      <c r="H65" s="18" t="s">
        <v>5</v>
      </c>
    </row>
    <row r="66" spans="1:8" x14ac:dyDescent="0.3">
      <c r="A66" s="2" t="s">
        <v>39</v>
      </c>
      <c r="B66" s="2">
        <v>100</v>
      </c>
      <c r="C66" s="6">
        <v>1645.79</v>
      </c>
      <c r="D66" s="6">
        <v>1657.37834348964</v>
      </c>
      <c r="E66" s="3">
        <f>D66/C66-1</f>
        <v>7.0412042178162881E-3</v>
      </c>
      <c r="F66" s="5">
        <f>5.23/1000</f>
        <v>5.2300000000000003E-3</v>
      </c>
      <c r="G66" s="1">
        <v>5000</v>
      </c>
      <c r="H66" s="6">
        <f>F66 * G66</f>
        <v>26.150000000000002</v>
      </c>
    </row>
    <row r="67" spans="1:8" x14ac:dyDescent="0.3">
      <c r="A67" s="1" t="s">
        <v>40</v>
      </c>
      <c r="B67" s="2">
        <v>100</v>
      </c>
      <c r="C67" s="24">
        <v>1252.3699999999999</v>
      </c>
      <c r="D67" s="24">
        <v>1197.04854263431</v>
      </c>
      <c r="E67" s="3">
        <f t="shared" ref="E67:E71" si="0">D67/C67-1</f>
        <v>-4.4173413101311843E-2</v>
      </c>
      <c r="F67" s="4">
        <f>15.07/1000</f>
        <v>1.507E-2</v>
      </c>
      <c r="G67" s="1">
        <v>5000</v>
      </c>
      <c r="H67" s="6">
        <f t="shared" ref="H67:H71" si="1">F67 * G67</f>
        <v>75.349999999999994</v>
      </c>
    </row>
    <row r="68" spans="1:8" x14ac:dyDescent="0.3">
      <c r="A68" s="2" t="s">
        <v>41</v>
      </c>
      <c r="B68" s="2">
        <v>100</v>
      </c>
      <c r="C68" s="6">
        <v>828.94</v>
      </c>
      <c r="D68" s="6">
        <v>828.936866942812</v>
      </c>
      <c r="E68" s="3">
        <f t="shared" si="0"/>
        <v>-3.7795946487007015E-6</v>
      </c>
      <c r="F68" s="4">
        <f>6.42/1000</f>
        <v>6.4200000000000004E-3</v>
      </c>
      <c r="G68" s="1">
        <v>5000</v>
      </c>
      <c r="H68" s="6">
        <f t="shared" si="1"/>
        <v>32.1</v>
      </c>
    </row>
    <row r="69" spans="1:8" x14ac:dyDescent="0.3">
      <c r="A69" s="2" t="s">
        <v>42</v>
      </c>
      <c r="B69" s="2">
        <v>100</v>
      </c>
      <c r="C69" s="6">
        <v>591.55999999999995</v>
      </c>
      <c r="D69" s="6">
        <v>591.55655667143196</v>
      </c>
      <c r="E69" s="3">
        <f t="shared" si="0"/>
        <v>-5.8207596321802058E-6</v>
      </c>
      <c r="F69" s="4">
        <f>22.78/1000</f>
        <v>2.2780000000000002E-2</v>
      </c>
      <c r="G69" s="1">
        <v>5000</v>
      </c>
      <c r="H69" s="6">
        <f t="shared" si="1"/>
        <v>113.9</v>
      </c>
    </row>
    <row r="70" spans="1:8" x14ac:dyDescent="0.3">
      <c r="A70" s="2" t="s">
        <v>43</v>
      </c>
      <c r="B70" s="2">
        <v>100</v>
      </c>
      <c r="C70" s="6">
        <v>1696.94</v>
      </c>
      <c r="D70" s="6">
        <v>1667.0215584974701</v>
      </c>
      <c r="E70" s="3">
        <f t="shared" si="0"/>
        <v>-1.7630818710461127E-2</v>
      </c>
      <c r="F70" s="4">
        <f>5.74/1000</f>
        <v>5.7400000000000003E-3</v>
      </c>
      <c r="G70" s="1">
        <v>5000</v>
      </c>
      <c r="H70" s="6">
        <f t="shared" si="1"/>
        <v>28.700000000000003</v>
      </c>
    </row>
    <row r="71" spans="1:8" x14ac:dyDescent="0.3">
      <c r="A71" s="1" t="s">
        <v>44</v>
      </c>
      <c r="B71" s="2">
        <v>100</v>
      </c>
      <c r="C71" s="24">
        <v>1406.91</v>
      </c>
      <c r="D71" s="24">
        <v>1303.8348581678899</v>
      </c>
      <c r="E71" s="3">
        <f t="shared" si="0"/>
        <v>-7.3263493636487209E-2</v>
      </c>
      <c r="F71" s="4">
        <f>14.73/1000</f>
        <v>1.473E-2</v>
      </c>
      <c r="G71" s="1">
        <v>5000</v>
      </c>
      <c r="H71" s="6">
        <f t="shared" si="1"/>
        <v>73.650000000000006</v>
      </c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  <row r="277" spans="2:2" x14ac:dyDescent="0.3">
      <c r="B277" s="7"/>
    </row>
    <row r="278" spans="2:2" x14ac:dyDescent="0.3">
      <c r="B278" s="7"/>
    </row>
    <row r="279" spans="2:2" x14ac:dyDescent="0.3">
      <c r="B279" s="7"/>
    </row>
    <row r="280" spans="2:2" x14ac:dyDescent="0.3">
      <c r="B280" s="7"/>
    </row>
    <row r="281" spans="2:2" x14ac:dyDescent="0.3">
      <c r="B281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VRP Benchmarking</vt:lpstr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2022-11-18T23:56:27Z</dcterms:modified>
</cp:coreProperties>
</file>