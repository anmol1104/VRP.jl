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8630F1D6-8AC1-4ADB-A04E-FD2A55301E52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VRP Benchmarking" sheetId="2" r:id="rId1"/>
    <sheet name="VRPTW Benchmark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0" i="1" l="1"/>
  <c r="F69" i="1"/>
  <c r="F67" i="1"/>
  <c r="H67" i="1" s="1"/>
  <c r="F68" i="1"/>
  <c r="F66" i="1"/>
  <c r="F65" i="1"/>
  <c r="H70" i="1"/>
  <c r="H68" i="1"/>
  <c r="H66" i="1"/>
  <c r="H65" i="1"/>
  <c r="F69" i="2"/>
  <c r="F68" i="2"/>
  <c r="F67" i="2"/>
  <c r="F66" i="2"/>
  <c r="F65" i="2"/>
  <c r="H69" i="2"/>
  <c r="H65" i="2"/>
  <c r="H68" i="2"/>
  <c r="H66" i="2"/>
  <c r="H67" i="2"/>
  <c r="H69" i="1"/>
  <c r="E69" i="2"/>
  <c r="E68" i="2"/>
  <c r="E67" i="2"/>
  <c r="E66" i="2"/>
  <c r="E65" i="2"/>
  <c r="E66" i="1"/>
  <c r="E67" i="1"/>
  <c r="E68" i="1"/>
  <c r="E69" i="1"/>
  <c r="E70" i="1"/>
  <c r="E65" i="1"/>
</calcChain>
</file>

<file path=xl/sharedStrings.xml><?xml version="1.0" encoding="utf-8"?>
<sst xmlns="http://schemas.openxmlformats.org/spreadsheetml/2006/main" count="161" uniqueCount="89">
  <si>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</si>
  <si>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</si>
  <si>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</si>
  <si>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</si>
  <si>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</si>
  <si>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</si>
  <si>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</si>
  <si>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</si>
  <si>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</si>
  <si>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</si>
  <si>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</si>
  <si>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ω   =   0.05                    ,</t>
  </si>
  <si>
    <t>        τ   =   0.5                     ,</t>
  </si>
  <si>
    <t>        𝜃   =   0.99975                 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</si>
  <si>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</si>
  <si>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</si>
  <si>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</si>
  <si>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</si>
  <si>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                    :move!          ,</t>
  </si>
  <si>
    <t>Size</t>
  </si>
  <si>
    <t>Iterations</t>
  </si>
  <si>
    <t>ALNS parameters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</si>
  <si>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</si>
  <si>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</si>
  <si>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</si>
  <si>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</si>
  <si>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</si>
  <si>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</si>
  <si>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</si>
  <si>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</si>
  <si>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</si>
  <si>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</si>
  <si>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</si>
  <si>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</si>
  <si>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</si>
  <si>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</si>
  <si>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</si>
  <si>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</si>
  <si>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</si>
  <si>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</si>
  <si>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</si>
  <si>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:cw_init</t>
  </si>
  <si>
    <t>rng</t>
  </si>
  <si>
    <t>MersenneTwister(1234)</t>
  </si>
  <si>
    <t>r101</t>
  </si>
  <si>
    <t>r201</t>
  </si>
  <si>
    <t>c101</t>
  </si>
  <si>
    <t>c201</t>
  </si>
  <si>
    <t>rc101</t>
  </si>
  <si>
    <t>rc201</t>
  </si>
  <si>
    <t>    );</t>
  </si>
  <si>
    <t>χ = ALNSParameters(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</si>
  <si>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</si>
  <si>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</si>
  <si>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</si>
  <si>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</si>
  <si>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</si>
  <si>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</si>
  <si>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</si>
  <si>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</si>
  <si>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</si>
  <si>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</si>
  <si>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</si>
  <si>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</si>
  <si>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</si>
  <si>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:best!          ,</t>
  </si>
  <si>
    <t>                    :greedy!        ,</t>
  </si>
  <si>
    <t>                    :regret2!       ,</t>
  </si>
  <si>
    <t>                    :regret3!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</si>
  <si>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</si>
  <si>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</si>
  <si>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</si>
  <si>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</si>
  <si>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x = length(N)</t>
  </si>
  <si>
    <t>Vehicle Routing Problem with Time-Windows (VRPTW) Benchmarking</t>
  </si>
  <si>
    <t>Vehicle Routing Problem (VRP) Benchmarking</t>
  </si>
  <si>
    <t>Initializtion</t>
  </si>
  <si>
    <t>:random</t>
  </si>
  <si>
    <t>m-n101-k10</t>
  </si>
  <si>
    <t>tai150a</t>
  </si>
  <si>
    <t>cmt10</t>
  </si>
  <si>
    <t>x-n251-k28</t>
  </si>
  <si>
    <t>x-n303-k21</t>
  </si>
  <si>
    <t>n = max(200, ceil(x, digits=-(length(digits(x))-1)))</t>
  </si>
  <si>
    <t>        σ₁  =   15                      ,</t>
  </si>
  <si>
    <t>        σ₂  =   10                      ,</t>
  </si>
  <si>
    <t>        σ₃  =   3                       ,</t>
  </si>
  <si>
    <t>        C̲   =   4                       ,</t>
  </si>
  <si>
    <t>n = max(500, ceil(x, digits=-(length(digits(x))-1)))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</si>
</sst>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  <xf numFmtId="1" fontId="1" fillId="0" borderId="2" xfId="0" applyNumberFormat="1" applyFont="1" applyBorder="1"/>
    <xf numFmtId="1" fontId="1" fillId="0" borderId="1" xfId="0" applyNumberFormat="1" applyFont="1" applyBorder="1"/>
    <xf numFmtId="0" fontId="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8D86-1312-4781-AFB7-1DCAC26244E4}">
  <dimension ref="A1:X274"/>
  <sheetViews>
    <sheetView tabSelected="1" topLeftCell="A10" workbookViewId="0">
      <selection activeCell="H35" sqref="H35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75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23</v>
      </c>
    </row>
    <row r="4" spans="1:6" x14ac:dyDescent="0.3">
      <c r="A4" s="1" t="s">
        <v>24</v>
      </c>
      <c r="B4" s="13"/>
      <c r="C4" s="1" t="s">
        <v>25</v>
      </c>
      <c r="D4" s="2"/>
      <c r="E4" s="2"/>
      <c r="F4" s="2"/>
    </row>
    <row r="5" spans="1:6" x14ac:dyDescent="0.3">
      <c r="A5" s="1" t="s">
        <v>26</v>
      </c>
      <c r="B5" s="13"/>
      <c r="C5" s="1" t="s">
        <v>29</v>
      </c>
      <c r="D5" s="2"/>
      <c r="E5" s="2"/>
      <c r="F5" s="2"/>
    </row>
    <row r="6" spans="1:6" s="9" customFormat="1" ht="12.75" customHeight="1" x14ac:dyDescent="0.35">
      <c r="A6" s="9" t="s">
        <v>27</v>
      </c>
      <c r="C6" s="9" t="s">
        <v>28</v>
      </c>
    </row>
    <row r="7" spans="1:6" s="9" customFormat="1" ht="12.75" customHeight="1" x14ac:dyDescent="0.35"/>
    <row r="8" spans="1:6" s="9" customFormat="1" ht="12.75" customHeight="1" x14ac:dyDescent="0.35">
      <c r="A8" s="23" t="s">
        <v>34</v>
      </c>
    </row>
    <row r="9" spans="1:6" s="9" customFormat="1" ht="12.75" customHeight="1" x14ac:dyDescent="0.3">
      <c r="A9" s="1" t="s">
        <v>30</v>
      </c>
      <c r="B9" s="1"/>
      <c r="C9" s="1" t="s">
        <v>31</v>
      </c>
      <c r="D9" s="1"/>
    </row>
    <row r="10" spans="1:6" s="9" customFormat="1" ht="12.75" customHeight="1" x14ac:dyDescent="0.3">
      <c r="A10" s="1" t="s">
        <v>32</v>
      </c>
      <c r="B10" s="1"/>
      <c r="C10" s="1" t="s">
        <v>33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39</v>
      </c>
      <c r="B12" s="1"/>
      <c r="C12" s="1"/>
      <c r="D12" s="1"/>
    </row>
    <row r="13" spans="1:6" s="9" customFormat="1" ht="12.75" customHeight="1" x14ac:dyDescent="0.3">
      <c r="A13" s="1" t="s">
        <v>37</v>
      </c>
      <c r="B13" s="1"/>
      <c r="C13" s="1" t="s">
        <v>38</v>
      </c>
      <c r="D13" s="1"/>
    </row>
    <row r="14" spans="1:6" s="9" customFormat="1" ht="12.75" customHeight="1" x14ac:dyDescent="0.3">
      <c r="A14" s="1" t="s">
        <v>36</v>
      </c>
      <c r="B14" s="1"/>
      <c r="C14" s="1" t="s">
        <v>35</v>
      </c>
      <c r="D14" s="1"/>
    </row>
    <row r="15" spans="1:6" s="9" customFormat="1" ht="12.75" customHeight="1" x14ac:dyDescent="0.3">
      <c r="A15" s="1" t="s">
        <v>42</v>
      </c>
      <c r="B15" s="1"/>
      <c r="C15" s="12" t="s">
        <v>43</v>
      </c>
      <c r="D15" s="1"/>
    </row>
    <row r="16" spans="1:6" s="9" customFormat="1" ht="12.75" customHeight="1" x14ac:dyDescent="0.35">
      <c r="A16" s="9" t="s">
        <v>76</v>
      </c>
      <c r="C16" s="12" t="s">
        <v>77</v>
      </c>
    </row>
    <row r="17" spans="1:24" s="9" customFormat="1" ht="12.75" customHeight="1" x14ac:dyDescent="0.3">
      <c r="A17" s="22"/>
      <c r="B17" s="12"/>
      <c r="C17" s="12"/>
      <c r="D17" s="1"/>
      <c r="E17" s="1"/>
      <c r="F17" s="1"/>
      <c r="G17" s="1"/>
      <c r="H17" s="1"/>
    </row>
    <row r="18" spans="1:24" s="9" customFormat="1" ht="12.75" customHeight="1" x14ac:dyDescent="0.35">
      <c r="A18" s="10" t="s">
        <v>21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73</v>
      </c>
      <c r="B19" s="12"/>
      <c r="W19" s="12"/>
      <c r="X19" s="12"/>
    </row>
    <row r="20" spans="1:24" s="9" customFormat="1" ht="12.75" customHeight="1" x14ac:dyDescent="0.35">
      <c r="A20" s="12" t="s">
        <v>83</v>
      </c>
      <c r="B20" s="12"/>
      <c r="W20" s="12"/>
      <c r="X20" s="12"/>
    </row>
    <row r="21" spans="1:24" s="9" customFormat="1" ht="12.75" customHeight="1" x14ac:dyDescent="0.35">
      <c r="A21" s="12" t="s">
        <v>51</v>
      </c>
      <c r="B21" s="12"/>
      <c r="U21" s="12"/>
      <c r="V21" s="12"/>
      <c r="W21" s="12"/>
      <c r="X21" s="12"/>
    </row>
    <row r="22" spans="1:24" s="9" customFormat="1" ht="12.75" customHeight="1" x14ac:dyDescent="0.35">
      <c r="A22" s="12" t="s">
        <v>52</v>
      </c>
      <c r="B22" s="12"/>
      <c r="U22" s="12"/>
      <c r="V22" s="12"/>
      <c r="W22" s="12"/>
      <c r="X22" s="12"/>
    </row>
    <row r="23" spans="1:24" s="9" customFormat="1" ht="12.75" customHeight="1" x14ac:dyDescent="0.35">
      <c r="A23" s="12" t="s">
        <v>53</v>
      </c>
      <c r="B23" s="12"/>
      <c r="H23" s="12"/>
      <c r="U23" s="12"/>
      <c r="V23" s="12"/>
      <c r="W23" s="12"/>
      <c r="X23" s="12"/>
    </row>
    <row r="24" spans="1:24" s="9" customFormat="1" ht="12.75" customHeight="1" x14ac:dyDescent="0.35">
      <c r="A24" s="12" t="s">
        <v>54</v>
      </c>
      <c r="B24" s="12"/>
      <c r="H24" s="12"/>
      <c r="U24" s="12"/>
      <c r="V24" s="12"/>
      <c r="W24" s="12"/>
      <c r="X24" s="12"/>
    </row>
    <row r="25" spans="1:24" s="9" customFormat="1" ht="12.75" customHeight="1" x14ac:dyDescent="0.35">
      <c r="A25" s="12" t="s">
        <v>55</v>
      </c>
      <c r="B25" s="12"/>
      <c r="H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H26" s="12"/>
      <c r="U26" s="12"/>
      <c r="V26" s="12"/>
      <c r="W26" s="12"/>
      <c r="X26" s="12"/>
    </row>
    <row r="27" spans="1:24" s="9" customFormat="1" ht="12.75" customHeight="1" x14ac:dyDescent="0.35">
      <c r="A27" s="12" t="s">
        <v>56</v>
      </c>
      <c r="B27" s="12"/>
      <c r="U27" s="12"/>
      <c r="V27" s="12"/>
      <c r="W27" s="12"/>
      <c r="X27" s="12"/>
    </row>
    <row r="28" spans="1:24" s="9" customFormat="1" ht="12.75" customHeight="1" x14ac:dyDescent="0.35">
      <c r="A28" s="12" t="s">
        <v>57</v>
      </c>
      <c r="B28" s="12"/>
      <c r="U28" s="12"/>
      <c r="V28" s="12"/>
      <c r="W28" s="12"/>
      <c r="X28" s="12"/>
    </row>
    <row r="29" spans="1:24" s="9" customFormat="1" ht="12.75" customHeight="1" x14ac:dyDescent="0.35">
      <c r="A29" s="12" t="s">
        <v>58</v>
      </c>
      <c r="B29" s="12"/>
      <c r="U29" s="12"/>
      <c r="V29" s="12"/>
      <c r="W29" s="12"/>
      <c r="X29" s="12"/>
    </row>
    <row r="30" spans="1:24" s="9" customFormat="1" ht="12.75" customHeight="1" x14ac:dyDescent="0.35">
      <c r="A30" s="12" t="s">
        <v>59</v>
      </c>
      <c r="B30" s="12"/>
      <c r="U30" s="12"/>
      <c r="V30" s="12"/>
      <c r="W30" s="12"/>
      <c r="X30" s="12"/>
    </row>
    <row r="31" spans="1:24" s="9" customFormat="1" ht="12.75" customHeight="1" x14ac:dyDescent="0.35">
      <c r="A31" s="12" t="s">
        <v>60</v>
      </c>
      <c r="B31" s="12"/>
      <c r="U31" s="12"/>
      <c r="V31" s="12"/>
      <c r="W31" s="12"/>
      <c r="X31" s="12"/>
    </row>
    <row r="32" spans="1:24" s="9" customFormat="1" ht="12.75" customHeight="1" x14ac:dyDescent="0.35">
      <c r="A32" s="12" t="s">
        <v>61</v>
      </c>
      <c r="B32" s="12"/>
      <c r="U32" s="12"/>
      <c r="V32" s="12"/>
      <c r="W32" s="12"/>
      <c r="X32" s="12"/>
    </row>
    <row r="33" spans="1:24" s="9" customFormat="1" ht="12.75" customHeight="1" x14ac:dyDescent="0.35">
      <c r="A33" s="12" t="s">
        <v>62</v>
      </c>
      <c r="B33" s="12"/>
      <c r="U33" s="12"/>
      <c r="V33" s="12"/>
      <c r="W33" s="12"/>
      <c r="X33" s="12"/>
    </row>
    <row r="34" spans="1:24" s="9" customFormat="1" ht="12.75" customHeight="1" x14ac:dyDescent="0.35">
      <c r="A34" s="12" t="s">
        <v>63</v>
      </c>
      <c r="B34" s="12"/>
      <c r="U34" s="12"/>
      <c r="V34" s="12"/>
      <c r="W34" s="12"/>
      <c r="X34" s="12"/>
    </row>
    <row r="35" spans="1:24" s="9" customFormat="1" ht="12.75" customHeight="1" x14ac:dyDescent="0.35">
      <c r="A35" s="12" t="s">
        <v>64</v>
      </c>
      <c r="B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U37" s="12"/>
      <c r="V37" s="12"/>
      <c r="W37" s="12"/>
      <c r="X37" s="12"/>
    </row>
    <row r="38" spans="1:24" s="9" customFormat="1" ht="12.75" customHeight="1" x14ac:dyDescent="0.35">
      <c r="A38" s="12" t="s">
        <v>65</v>
      </c>
      <c r="B38" s="12"/>
      <c r="U38" s="12"/>
      <c r="V38" s="12"/>
      <c r="W38" s="12"/>
      <c r="X38" s="12"/>
    </row>
    <row r="39" spans="1:24" s="9" customFormat="1" ht="12.75" customHeight="1" x14ac:dyDescent="0.35">
      <c r="A39" s="12" t="s">
        <v>66</v>
      </c>
      <c r="B39" s="12"/>
      <c r="U39" s="12"/>
      <c r="V39" s="12"/>
      <c r="W39" s="12"/>
      <c r="X39" s="12"/>
    </row>
    <row r="40" spans="1:24" s="9" customFormat="1" ht="12.75" customHeight="1" x14ac:dyDescent="0.35">
      <c r="A40" s="12" t="s">
        <v>67</v>
      </c>
      <c r="B40" s="12"/>
      <c r="U40" s="12"/>
      <c r="V40" s="12"/>
      <c r="W40" s="12"/>
      <c r="X40" s="12"/>
    </row>
    <row r="41" spans="1:24" s="9" customFormat="1" ht="12.75" customHeight="1" x14ac:dyDescent="0.35">
      <c r="A41" s="12" t="s">
        <v>68</v>
      </c>
      <c r="B41" s="12"/>
      <c r="U41" s="12"/>
      <c r="V41" s="12"/>
      <c r="W41" s="12"/>
      <c r="X41" s="12"/>
    </row>
    <row r="42" spans="1:24" ht="14" x14ac:dyDescent="0.3">
      <c r="A42" s="12" t="s">
        <v>7</v>
      </c>
      <c r="B42" s="12"/>
      <c r="H42" s="9"/>
      <c r="U42" s="12"/>
      <c r="V42" s="12"/>
      <c r="W42" s="12"/>
      <c r="X42" s="12"/>
    </row>
    <row r="43" spans="1:24" ht="14" x14ac:dyDescent="0.3">
      <c r="A43" s="12" t="s">
        <v>17</v>
      </c>
      <c r="B43" s="12"/>
      <c r="H43" s="9"/>
      <c r="U43" s="12"/>
      <c r="V43" s="12"/>
      <c r="W43" s="12"/>
      <c r="X43" s="12"/>
    </row>
    <row r="44" spans="1:24" ht="14" x14ac:dyDescent="0.3">
      <c r="A44" s="12" t="s">
        <v>18</v>
      </c>
      <c r="B44" s="12"/>
      <c r="H44" s="9"/>
      <c r="U44" s="12"/>
      <c r="V44" s="12"/>
      <c r="W44" s="12"/>
      <c r="X44" s="12"/>
    </row>
    <row r="45" spans="1:24" ht="14" x14ac:dyDescent="0.3">
      <c r="A45" s="12" t="s">
        <v>69</v>
      </c>
      <c r="B45" s="12"/>
      <c r="H45" s="9"/>
      <c r="U45" s="12"/>
      <c r="V45" s="12"/>
      <c r="W45" s="12"/>
      <c r="X45" s="12"/>
    </row>
    <row r="46" spans="1:24" ht="14" x14ac:dyDescent="0.3">
      <c r="A46" s="12" t="s">
        <v>70</v>
      </c>
      <c r="B46" s="12"/>
      <c r="H46" s="9"/>
      <c r="U46" s="12"/>
      <c r="V46" s="12"/>
      <c r="W46" s="12"/>
      <c r="X46" s="12"/>
    </row>
    <row r="47" spans="1:24" ht="14" x14ac:dyDescent="0.3">
      <c r="A47" s="12" t="s">
        <v>71</v>
      </c>
      <c r="B47" s="12"/>
      <c r="H47" s="9"/>
      <c r="U47" s="12"/>
      <c r="V47" s="12"/>
      <c r="W47" s="12"/>
      <c r="X47" s="12"/>
    </row>
    <row r="48" spans="1:24" ht="14" x14ac:dyDescent="0.3">
      <c r="A48" s="12" t="s">
        <v>10</v>
      </c>
      <c r="B48" s="12"/>
      <c r="H48" s="9"/>
      <c r="U48" s="12"/>
      <c r="V48" s="12"/>
      <c r="W48" s="12"/>
      <c r="X48" s="12"/>
    </row>
    <row r="49" spans="1:24" ht="14" x14ac:dyDescent="0.3">
      <c r="A49" s="12" t="s">
        <v>7</v>
      </c>
      <c r="B49" s="12"/>
      <c r="H49" s="9"/>
      <c r="U49" s="12"/>
      <c r="V49" s="12"/>
      <c r="W49" s="12"/>
      <c r="X49" s="12"/>
    </row>
    <row r="50" spans="1:24" ht="14" x14ac:dyDescent="0.3">
      <c r="A50" s="12" t="s">
        <v>84</v>
      </c>
      <c r="B50" s="12"/>
      <c r="H50" s="9"/>
      <c r="U50" s="12"/>
      <c r="V50" s="12"/>
      <c r="W50" s="12"/>
      <c r="X50" s="12"/>
    </row>
    <row r="51" spans="1:24" ht="14" x14ac:dyDescent="0.3">
      <c r="A51" s="12" t="s">
        <v>85</v>
      </c>
      <c r="B51" s="12"/>
      <c r="H51" s="9"/>
      <c r="U51" s="12"/>
      <c r="V51" s="12"/>
      <c r="W51" s="12"/>
      <c r="X51" s="12"/>
    </row>
    <row r="52" spans="1:24" ht="14" x14ac:dyDescent="0.3">
      <c r="A52" s="12" t="s">
        <v>86</v>
      </c>
      <c r="B52" s="12"/>
      <c r="H52" s="9"/>
      <c r="U52" s="12"/>
      <c r="V52" s="12"/>
      <c r="W52" s="12"/>
      <c r="X52" s="12"/>
    </row>
    <row r="53" spans="1:24" ht="14" x14ac:dyDescent="0.3">
      <c r="A53" s="12" t="s">
        <v>11</v>
      </c>
      <c r="B53" s="12"/>
      <c r="U53" s="12"/>
      <c r="V53" s="12"/>
      <c r="W53" s="12"/>
      <c r="X53" s="12"/>
    </row>
    <row r="54" spans="1:24" ht="14" x14ac:dyDescent="0.3">
      <c r="A54" s="12" t="s">
        <v>12</v>
      </c>
      <c r="B54" s="12"/>
      <c r="U54" s="12"/>
      <c r="V54" s="12"/>
      <c r="W54" s="12"/>
      <c r="X54" s="12"/>
    </row>
    <row r="55" spans="1:24" ht="14" x14ac:dyDescent="0.3">
      <c r="A55" s="12" t="s">
        <v>13</v>
      </c>
      <c r="B55" s="12"/>
      <c r="U55" s="12"/>
      <c r="V55" s="12"/>
      <c r="W55" s="12"/>
      <c r="X55" s="12"/>
    </row>
    <row r="56" spans="1:24" ht="14" x14ac:dyDescent="0.3">
      <c r="A56" s="12" t="s">
        <v>87</v>
      </c>
      <c r="B56" s="12"/>
      <c r="U56" s="12"/>
      <c r="V56" s="12"/>
      <c r="W56" s="12"/>
      <c r="X56" s="12"/>
    </row>
    <row r="57" spans="1:24" ht="14" x14ac:dyDescent="0.3">
      <c r="A57" s="12" t="s">
        <v>14</v>
      </c>
      <c r="B57" s="12"/>
      <c r="U57" s="12"/>
      <c r="V57" s="12"/>
      <c r="W57" s="12"/>
      <c r="X57" s="12"/>
    </row>
    <row r="58" spans="1:24" ht="14" x14ac:dyDescent="0.3">
      <c r="A58" s="12" t="s">
        <v>15</v>
      </c>
      <c r="B58" s="12"/>
      <c r="U58" s="12"/>
      <c r="V58" s="12"/>
      <c r="W58" s="12"/>
      <c r="X58" s="12"/>
    </row>
    <row r="59" spans="1:24" ht="14" x14ac:dyDescent="0.3">
      <c r="A59" s="12" t="s">
        <v>16</v>
      </c>
      <c r="B59" s="12"/>
      <c r="U59" s="12"/>
      <c r="V59" s="12"/>
      <c r="W59" s="12"/>
      <c r="X59" s="12"/>
    </row>
    <row r="60" spans="1:24" ht="14" x14ac:dyDescent="0.3">
      <c r="A60" s="12" t="s">
        <v>72</v>
      </c>
      <c r="U60" s="12"/>
      <c r="V60" s="12"/>
    </row>
    <row r="61" spans="1:24" ht="14" x14ac:dyDescent="0.3">
      <c r="A61" s="12" t="s">
        <v>50</v>
      </c>
      <c r="U61" s="12"/>
      <c r="V61" s="12"/>
    </row>
    <row r="63" spans="1:24" x14ac:dyDescent="0.3">
      <c r="A63" s="17" t="s">
        <v>22</v>
      </c>
      <c r="B63" s="7"/>
    </row>
    <row r="64" spans="1:24" x14ac:dyDescent="0.3">
      <c r="A64" s="18" t="s">
        <v>2</v>
      </c>
      <c r="B64" s="18" t="s">
        <v>19</v>
      </c>
      <c r="C64" s="18" t="s">
        <v>0</v>
      </c>
      <c r="D64" s="18" t="s">
        <v>1</v>
      </c>
      <c r="E64" s="18" t="s">
        <v>3</v>
      </c>
      <c r="F64" s="18" t="s">
        <v>4</v>
      </c>
      <c r="G64" s="18" t="s">
        <v>20</v>
      </c>
      <c r="H64" s="18" t="s">
        <v>5</v>
      </c>
    </row>
    <row r="65" spans="1:8" x14ac:dyDescent="0.3">
      <c r="A65" s="2" t="s">
        <v>78</v>
      </c>
      <c r="B65" s="2">
        <v>100</v>
      </c>
      <c r="C65" s="25">
        <v>820</v>
      </c>
      <c r="D65" s="25">
        <v>819.55754418734</v>
      </c>
      <c r="E65" s="3">
        <f>D65/C65-1</f>
        <v>-5.3958025934142118E-4</v>
      </c>
      <c r="F65" s="5">
        <f>3.34/1000</f>
        <v>3.3399999999999997E-3</v>
      </c>
      <c r="G65" s="1">
        <v>2000</v>
      </c>
      <c r="H65" s="6">
        <f>F65 * G65</f>
        <v>6.68</v>
      </c>
    </row>
    <row r="66" spans="1:8" x14ac:dyDescent="0.3">
      <c r="A66" s="1" t="s">
        <v>79</v>
      </c>
      <c r="B66" s="1">
        <v>150</v>
      </c>
      <c r="C66" s="25">
        <v>3055.23</v>
      </c>
      <c r="D66" s="26">
        <v>3248.97084620633</v>
      </c>
      <c r="E66" s="3">
        <f>D66/C66-1</f>
        <v>6.3412851473155785E-2</v>
      </c>
      <c r="F66" s="4">
        <f>8.61/1000</f>
        <v>8.6099999999999996E-3</v>
      </c>
      <c r="G66" s="1">
        <v>2000</v>
      </c>
      <c r="H66" s="6">
        <f t="shared" ref="H66:H69" si="0">F66 * G66</f>
        <v>17.22</v>
      </c>
    </row>
    <row r="67" spans="1:8" x14ac:dyDescent="0.3">
      <c r="A67" s="2" t="s">
        <v>80</v>
      </c>
      <c r="B67" s="2">
        <v>200</v>
      </c>
      <c r="C67" s="25">
        <v>1395.85</v>
      </c>
      <c r="D67" s="25">
        <v>1350.25450876236</v>
      </c>
      <c r="E67" s="3">
        <f>D67/C67-1</f>
        <v>-3.2665036528022218E-2</v>
      </c>
      <c r="F67" s="4">
        <f>11.26/1000</f>
        <v>1.1259999999999999E-2</v>
      </c>
      <c r="G67" s="1">
        <v>2000</v>
      </c>
      <c r="H67" s="6">
        <f t="shared" si="0"/>
        <v>22.52</v>
      </c>
    </row>
    <row r="68" spans="1:8" x14ac:dyDescent="0.3">
      <c r="A68" s="1" t="s">
        <v>81</v>
      </c>
      <c r="B68" s="1">
        <v>250</v>
      </c>
      <c r="C68" s="25">
        <v>38684</v>
      </c>
      <c r="D68" s="25">
        <v>41926.235613395198</v>
      </c>
      <c r="E68" s="3">
        <f>D68/C68-1</f>
        <v>8.3813349534567205E-2</v>
      </c>
      <c r="F68" s="4">
        <f>17.68/1000</f>
        <v>1.7680000000000001E-2</v>
      </c>
      <c r="G68" s="1">
        <v>3000</v>
      </c>
      <c r="H68" s="6">
        <f t="shared" si="0"/>
        <v>53.040000000000006</v>
      </c>
    </row>
    <row r="69" spans="1:8" x14ac:dyDescent="0.3">
      <c r="A69" s="1" t="s">
        <v>82</v>
      </c>
      <c r="B69" s="7">
        <v>302</v>
      </c>
      <c r="C69" s="27">
        <v>21736</v>
      </c>
      <c r="D69" s="26">
        <v>22966.074241357201</v>
      </c>
      <c r="E69" s="3">
        <f>D69/C69-1</f>
        <v>5.6591564287688634E-2</v>
      </c>
      <c r="F69" s="4">
        <f>24.64/1000</f>
        <v>2.4640000000000002E-2</v>
      </c>
      <c r="G69" s="1">
        <v>4000</v>
      </c>
      <c r="H69" s="1">
        <f t="shared" si="0"/>
        <v>98.56</v>
      </c>
    </row>
    <row r="70" spans="1:8" x14ac:dyDescent="0.3">
      <c r="B70" s="7"/>
    </row>
    <row r="71" spans="1:8" x14ac:dyDescent="0.3">
      <c r="B71" s="7"/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0"/>
  <sheetViews>
    <sheetView topLeftCell="A10" zoomScaleNormal="100" workbookViewId="0">
      <selection activeCell="A21" sqref="A21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74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23</v>
      </c>
    </row>
    <row r="4" spans="1:6" x14ac:dyDescent="0.3">
      <c r="A4" s="1" t="s">
        <v>24</v>
      </c>
      <c r="B4" s="13"/>
      <c r="C4" s="1" t="s">
        <v>25</v>
      </c>
      <c r="D4" s="2"/>
      <c r="E4" s="2"/>
      <c r="F4" s="2"/>
    </row>
    <row r="5" spans="1:6" x14ac:dyDescent="0.3">
      <c r="A5" s="1" t="s">
        <v>26</v>
      </c>
      <c r="B5" s="13"/>
      <c r="C5" s="1" t="s">
        <v>29</v>
      </c>
      <c r="D5" s="2"/>
      <c r="E5" s="2"/>
      <c r="F5" s="2"/>
    </row>
    <row r="6" spans="1:6" s="9" customFormat="1" ht="12.75" customHeight="1" x14ac:dyDescent="0.35">
      <c r="A6" s="9" t="s">
        <v>27</v>
      </c>
      <c r="C6" s="9" t="s">
        <v>28</v>
      </c>
    </row>
    <row r="7" spans="1:6" s="9" customFormat="1" ht="12.75" customHeight="1" x14ac:dyDescent="0.35"/>
    <row r="8" spans="1:6" s="9" customFormat="1" ht="12.75" customHeight="1" x14ac:dyDescent="0.35">
      <c r="A8" s="23" t="s">
        <v>34</v>
      </c>
    </row>
    <row r="9" spans="1:6" s="9" customFormat="1" ht="12.75" customHeight="1" x14ac:dyDescent="0.3">
      <c r="A9" s="1" t="s">
        <v>30</v>
      </c>
      <c r="B9" s="1"/>
      <c r="C9" s="1" t="s">
        <v>31</v>
      </c>
      <c r="D9" s="1"/>
    </row>
    <row r="10" spans="1:6" s="9" customFormat="1" ht="12.75" customHeight="1" x14ac:dyDescent="0.3">
      <c r="A10" s="1" t="s">
        <v>32</v>
      </c>
      <c r="B10" s="1"/>
      <c r="C10" s="1" t="s">
        <v>33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39</v>
      </c>
      <c r="B12" s="1"/>
      <c r="C12" s="1"/>
      <c r="D12" s="1"/>
    </row>
    <row r="13" spans="1:6" s="9" customFormat="1" ht="12.75" customHeight="1" x14ac:dyDescent="0.3">
      <c r="A13" s="1" t="s">
        <v>37</v>
      </c>
      <c r="B13" s="1"/>
      <c r="C13" s="1" t="s">
        <v>38</v>
      </c>
      <c r="D13" s="1"/>
    </row>
    <row r="14" spans="1:6" s="9" customFormat="1" ht="12.75" customHeight="1" x14ac:dyDescent="0.3">
      <c r="A14" s="1" t="s">
        <v>36</v>
      </c>
      <c r="B14" s="1"/>
      <c r="C14" s="1" t="s">
        <v>35</v>
      </c>
      <c r="D14" s="1"/>
    </row>
    <row r="15" spans="1:6" s="9" customFormat="1" ht="12.75" customHeight="1" x14ac:dyDescent="0.3">
      <c r="A15" s="1" t="s">
        <v>42</v>
      </c>
      <c r="B15" s="1"/>
      <c r="C15" s="12" t="s">
        <v>43</v>
      </c>
      <c r="D15" s="1"/>
    </row>
    <row r="16" spans="1:6" s="9" customFormat="1" ht="12.75" customHeight="1" x14ac:dyDescent="0.35">
      <c r="A16" s="9" t="s">
        <v>40</v>
      </c>
      <c r="C16" s="12" t="s">
        <v>41</v>
      </c>
    </row>
    <row r="17" spans="1:24" s="9" customFormat="1" ht="12.75" customHeight="1" x14ac:dyDescent="0.35">
      <c r="B17" s="8"/>
    </row>
    <row r="18" spans="1:24" s="9" customFormat="1" ht="12.75" customHeight="1" x14ac:dyDescent="0.35">
      <c r="A18" s="10" t="s">
        <v>21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73</v>
      </c>
      <c r="B19" s="11"/>
      <c r="L19" s="12"/>
      <c r="W19" s="12"/>
      <c r="X19" s="12"/>
    </row>
    <row r="20" spans="1:24" s="9" customFormat="1" ht="12.75" customHeight="1" x14ac:dyDescent="0.35">
      <c r="A20" s="12" t="s">
        <v>88</v>
      </c>
      <c r="B20" s="11"/>
      <c r="L20" s="12"/>
      <c r="W20" s="12"/>
      <c r="X20" s="12"/>
    </row>
    <row r="21" spans="1:24" s="9" customFormat="1" ht="12.75" customHeight="1" x14ac:dyDescent="0.35">
      <c r="A21" s="12" t="s">
        <v>51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35">
      <c r="A22" s="12" t="s">
        <v>52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35">
      <c r="A23" s="12" t="s">
        <v>53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35">
      <c r="A24" s="12" t="s">
        <v>54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35">
      <c r="A25" s="12" t="s">
        <v>55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35">
      <c r="A27" s="12" t="s">
        <v>56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35">
      <c r="A28" s="12" t="s">
        <v>57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35">
      <c r="A29" s="12" t="s">
        <v>58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35">
      <c r="A30" s="12" t="s">
        <v>59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35">
      <c r="A31" s="12" t="s">
        <v>60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35">
      <c r="A32" s="12" t="s">
        <v>61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35">
      <c r="A33" s="12" t="s">
        <v>62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35">
      <c r="A34" s="12" t="s">
        <v>63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35">
      <c r="A35" s="12" t="s">
        <v>64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35">
      <c r="A38" s="12" t="s">
        <v>65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66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67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68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ht="14" x14ac:dyDescent="0.3">
      <c r="A42" s="12" t="s">
        <v>7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ht="14" x14ac:dyDescent="0.3">
      <c r="A43" s="12" t="s">
        <v>17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18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" x14ac:dyDescent="0.3">
      <c r="A45" s="12" t="s">
        <v>69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" x14ac:dyDescent="0.3">
      <c r="A46" s="12" t="s">
        <v>70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" x14ac:dyDescent="0.3">
      <c r="A47" s="12" t="s">
        <v>71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" x14ac:dyDescent="0.3">
      <c r="A48" s="12" t="s">
        <v>10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" x14ac:dyDescent="0.3">
      <c r="A49" s="12" t="s">
        <v>7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" x14ac:dyDescent="0.3">
      <c r="A50" s="12" t="s">
        <v>84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" x14ac:dyDescent="0.3">
      <c r="A51" s="12" t="s">
        <v>85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" x14ac:dyDescent="0.3">
      <c r="A52" s="12" t="s">
        <v>86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" x14ac:dyDescent="0.3">
      <c r="A53" s="12" t="s">
        <v>11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" x14ac:dyDescent="0.3">
      <c r="A54" s="12" t="s">
        <v>12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" x14ac:dyDescent="0.3">
      <c r="A55" s="12" t="s">
        <v>13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" x14ac:dyDescent="0.3">
      <c r="A56" s="12" t="s">
        <v>87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" x14ac:dyDescent="0.3">
      <c r="A57" s="12" t="s">
        <v>14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" x14ac:dyDescent="0.3">
      <c r="A58" s="12" t="s">
        <v>15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" x14ac:dyDescent="0.3">
      <c r="A59" s="12" t="s">
        <v>16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" x14ac:dyDescent="0.3">
      <c r="A60" s="12" t="s">
        <v>72</v>
      </c>
      <c r="B60" s="12"/>
      <c r="C60" s="12"/>
      <c r="D60" s="12"/>
      <c r="E60" s="12"/>
      <c r="F60" s="12"/>
      <c r="G60" s="12"/>
      <c r="H60" s="12"/>
      <c r="U60" s="12"/>
      <c r="V60" s="12"/>
    </row>
    <row r="61" spans="1:24" ht="14" x14ac:dyDescent="0.3">
      <c r="A61" s="12" t="s">
        <v>50</v>
      </c>
      <c r="B61" s="12"/>
      <c r="C61" s="12"/>
      <c r="D61" s="12"/>
      <c r="E61" s="12"/>
      <c r="F61" s="12"/>
      <c r="G61" s="12"/>
      <c r="H61" s="12"/>
      <c r="U61" s="12"/>
      <c r="V61" s="12"/>
    </row>
    <row r="63" spans="1:24" x14ac:dyDescent="0.3">
      <c r="A63" s="17" t="s">
        <v>22</v>
      </c>
      <c r="B63" s="7"/>
    </row>
    <row r="64" spans="1:24" x14ac:dyDescent="0.3">
      <c r="A64" s="18" t="s">
        <v>2</v>
      </c>
      <c r="B64" s="18" t="s">
        <v>19</v>
      </c>
      <c r="C64" s="18" t="s">
        <v>0</v>
      </c>
      <c r="D64" s="18" t="s">
        <v>1</v>
      </c>
      <c r="E64" s="18" t="s">
        <v>3</v>
      </c>
      <c r="F64" s="18" t="s">
        <v>4</v>
      </c>
      <c r="G64" s="18" t="s">
        <v>20</v>
      </c>
      <c r="H64" s="18" t="s">
        <v>5</v>
      </c>
    </row>
    <row r="65" spans="1:8" x14ac:dyDescent="0.3">
      <c r="A65" s="2" t="s">
        <v>44</v>
      </c>
      <c r="B65" s="2">
        <v>100</v>
      </c>
      <c r="C65" s="6">
        <v>1645.79</v>
      </c>
      <c r="D65" s="6">
        <v>1645.83732633817</v>
      </c>
      <c r="E65" s="3">
        <f>D65/C65-1</f>
        <v>2.8756000565177686E-5</v>
      </c>
      <c r="F65" s="5">
        <f>4.68/1000</f>
        <v>4.6800000000000001E-3</v>
      </c>
      <c r="G65" s="1">
        <v>5000</v>
      </c>
      <c r="H65" s="6">
        <f>F65 * G65</f>
        <v>23.400000000000002</v>
      </c>
    </row>
    <row r="66" spans="1:8" x14ac:dyDescent="0.3">
      <c r="A66" s="1" t="s">
        <v>45</v>
      </c>
      <c r="B66" s="2">
        <v>100</v>
      </c>
      <c r="C66" s="24">
        <v>1252.3699999999999</v>
      </c>
      <c r="D66" s="24">
        <v>1184.5618570060401</v>
      </c>
      <c r="E66" s="3">
        <f t="shared" ref="E66:E70" si="0">D66/C66-1</f>
        <v>-5.4143857641080317E-2</v>
      </c>
      <c r="F66" s="4">
        <f>11.57/1000</f>
        <v>1.157E-2</v>
      </c>
      <c r="G66" s="1">
        <v>5000</v>
      </c>
      <c r="H66" s="6">
        <f t="shared" ref="H66:H70" si="1">F66 * G66</f>
        <v>57.85</v>
      </c>
    </row>
    <row r="67" spans="1:8" x14ac:dyDescent="0.3">
      <c r="A67" s="2" t="s">
        <v>46</v>
      </c>
      <c r="B67" s="2">
        <v>100</v>
      </c>
      <c r="C67" s="6">
        <v>828.94</v>
      </c>
      <c r="D67" s="6">
        <v>828.93686694150995</v>
      </c>
      <c r="E67" s="3">
        <f t="shared" si="0"/>
        <v>-3.7795962194442367E-6</v>
      </c>
      <c r="F67" s="4">
        <f>5.94/1000</f>
        <v>5.94E-3</v>
      </c>
      <c r="G67" s="1">
        <v>5000</v>
      </c>
      <c r="H67" s="6">
        <f t="shared" si="1"/>
        <v>29.7</v>
      </c>
    </row>
    <row r="68" spans="1:8" x14ac:dyDescent="0.3">
      <c r="A68" s="2" t="s">
        <v>47</v>
      </c>
      <c r="B68" s="2">
        <v>100</v>
      </c>
      <c r="C68" s="6">
        <v>591.55999999999995</v>
      </c>
      <c r="D68" s="6">
        <v>591.55655666593805</v>
      </c>
      <c r="E68" s="3">
        <f t="shared" si="0"/>
        <v>-5.820768919306829E-6</v>
      </c>
      <c r="F68" s="4">
        <f>21.03/1000</f>
        <v>2.103E-2</v>
      </c>
      <c r="G68" s="1">
        <v>5000</v>
      </c>
      <c r="H68" s="6">
        <f t="shared" si="1"/>
        <v>105.15</v>
      </c>
    </row>
    <row r="69" spans="1:8" x14ac:dyDescent="0.3">
      <c r="A69" s="2" t="s">
        <v>48</v>
      </c>
      <c r="B69" s="2">
        <v>100</v>
      </c>
      <c r="C69" s="6">
        <v>1696.94</v>
      </c>
      <c r="D69" s="6">
        <v>1675.1266262731599</v>
      </c>
      <c r="E69" s="3">
        <f t="shared" si="0"/>
        <v>-1.2854534471955503E-2</v>
      </c>
      <c r="F69" s="4">
        <f>4.92/1000</f>
        <v>4.9199999999999999E-3</v>
      </c>
      <c r="G69" s="1">
        <v>5000</v>
      </c>
      <c r="H69" s="6">
        <f t="shared" si="1"/>
        <v>24.599999999999998</v>
      </c>
    </row>
    <row r="70" spans="1:8" x14ac:dyDescent="0.3">
      <c r="A70" s="1" t="s">
        <v>49</v>
      </c>
      <c r="B70" s="2">
        <v>100</v>
      </c>
      <c r="C70" s="24">
        <v>1406.91</v>
      </c>
      <c r="D70" s="24">
        <v>1310.3079013464001</v>
      </c>
      <c r="E70" s="3">
        <f t="shared" si="0"/>
        <v>-6.8662600062264101E-2</v>
      </c>
      <c r="F70" s="4">
        <f>9.42/1000</f>
        <v>9.4199999999999996E-3</v>
      </c>
      <c r="G70" s="1">
        <v>5000</v>
      </c>
      <c r="H70" s="6">
        <f t="shared" si="1"/>
        <v>47.099999999999994</v>
      </c>
    </row>
    <row r="71" spans="1:8" x14ac:dyDescent="0.3">
      <c r="B71" s="7"/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  <row r="276" spans="2:2" x14ac:dyDescent="0.3">
      <c r="B276" s="7"/>
    </row>
    <row r="277" spans="2:2" x14ac:dyDescent="0.3">
      <c r="B277" s="7"/>
    </row>
    <row r="278" spans="2:2" x14ac:dyDescent="0.3">
      <c r="B278" s="7"/>
    </row>
    <row r="279" spans="2:2" x14ac:dyDescent="0.3">
      <c r="B279" s="7"/>
    </row>
    <row r="280" spans="2:2" x14ac:dyDescent="0.3">
      <c r="B280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VRP Benchmarking</vt:lpstr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2022-10-01T00:03:29Z</dcterms:modified>
</cp:coreProperties>
</file>